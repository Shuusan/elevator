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ua\Desktop\第二SI技術部\"/>
    </mc:Choice>
  </mc:AlternateContent>
  <xr:revisionPtr revIDLastSave="0" documentId="13_ncr:1_{2247186F-C101-48D7-82B9-DCB260FF4AD6}" xr6:coauthVersionLast="47" xr6:coauthVersionMax="47" xr10:uidLastSave="{00000000-0000-0000-0000-000000000000}"/>
  <bookViews>
    <workbookView xWindow="-996" yWindow="480" windowWidth="14928" windowHeight="11592" tabRatio="792" firstSheet="2" activeTab="9" xr2:uid="{00000000-000D-0000-FFFF-FFFF00000000}"/>
  </bookViews>
  <sheets>
    <sheet name="表紙" sheetId="33" r:id="rId1"/>
    <sheet name="改訂履歴" sheetId="302" r:id="rId2"/>
    <sheet name="目次" sheetId="90" r:id="rId3"/>
    <sheet name="1.適用" sheetId="85" r:id="rId4"/>
    <sheet name="2.目的" sheetId="275" r:id="rId5"/>
    <sheet name="3.実施範囲" sheetId="278" r:id="rId6"/>
    <sheet name="4.実施計画" sheetId="276" r:id="rId7"/>
    <sheet name="5.実施環境" sheetId="284" r:id="rId8"/>
    <sheet name="6.検査基準" sheetId="277" r:id="rId9"/>
    <sheet name="7-1-1.テスト(1)" sheetId="306" r:id="rId10"/>
    <sheet name="8.検査記録" sheetId="293" r:id="rId11"/>
    <sheet name="_集計表" sheetId="298" r:id="rId12"/>
    <sheet name="_4-X.画面" sheetId="263" state="hidden" r:id="rId13"/>
    <sheet name="_4-X.項目" sheetId="270" state="hidden" r:id="rId14"/>
    <sheet name="_4-X.機能" sheetId="274" state="hidden" r:id="rId15"/>
    <sheet name="_レイアウト汎用" sheetId="252" state="hidden" r:id="rId16"/>
  </sheets>
  <functionGroups builtInGroupCount="19"/>
  <externalReferences>
    <externalReference r:id="rId17"/>
  </externalReferences>
  <definedNames>
    <definedName name="\DOC\サブシステム名">表紙!$D$14</definedName>
    <definedName name="\DOC\サブドキュメント名">表紙!$D$18</definedName>
    <definedName name="\DOC\システム総称">表紙!$D$13:$G$14</definedName>
    <definedName name="\DOC\システム名" localSheetId="1">[1]表紙!$D$13</definedName>
    <definedName name="\DOC\システム名">表紙!$D$13</definedName>
    <definedName name="\DOC\ドキュメントNO">表紙!$D$16</definedName>
    <definedName name="\DOC\ドキュメント総称">表紙!$D$17:$G$18</definedName>
    <definedName name="\DOC\ドキュメント名">表紙!$D$17</definedName>
    <definedName name="\DOC\契約先名" localSheetId="1">[1]表紙!$D$10</definedName>
    <definedName name="\DOC\契約先名">表紙!$D$10</definedName>
    <definedName name="\DOC\最終担当者">表紙!$G$21</definedName>
    <definedName name="\DOC\最終発行日">表紙!$E$21</definedName>
    <definedName name="\DOC\最終発行版">表紙!$D$21</definedName>
    <definedName name="\DOC\需要先名" localSheetId="1">[1]表紙!$D$11</definedName>
    <definedName name="\DOC\需要先名">表紙!$D$11</definedName>
    <definedName name="\DOC\初版担当者">表紙!$G$20</definedName>
    <definedName name="\DOC\初版発行日">表紙!$E$20</definedName>
    <definedName name="\DOC\初版発行版">表紙!$D$20</definedName>
    <definedName name="\DOC\照合NO">表紙!$D$22</definedName>
    <definedName name="\NG\CheckDate">'8.検査記録'!$N$6</definedName>
    <definedName name="\NG\CheckMan">'8.検査記録'!$M$6</definedName>
    <definedName name="\NG\Class">'8.検査記録'!$F$6</definedName>
    <definedName name="\NG\Content">'8.検査記録'!$G$6</definedName>
    <definedName name="\NG\Date">'8.検査記録'!$L$6</definedName>
    <definedName name="\NG\List">OFFSET('8.検査記録'!$S$8,0,0,COUNTA('8.検査記録'!$S:$S)-2,1)</definedName>
    <definedName name="\NG\Make">'8.検査記録'!$H$6</definedName>
    <definedName name="\NG\Man">'8.検査記録'!$K$6</definedName>
    <definedName name="\NG\SheetName">'8.検査記録'!$T$6</definedName>
    <definedName name="\NG\SheetNo1">'8.検査記録'!$B$6</definedName>
    <definedName name="\NG\SheetNo2">'8.検査記録'!$C$6</definedName>
    <definedName name="\NG\SheetNo3">'8.検査記録'!$D$6</definedName>
    <definedName name="\NG\TestNo">'8.検査記録'!$E$6</definedName>
    <definedName name="\TOTAL\Bug">_集計表!$G$9</definedName>
    <definedName name="\TOTAL\BugArea">OFFSET(_集計表!$G$10,0,0,COUNTA(_集計表!$G:$G)-1,1)</definedName>
    <definedName name="\TOTAL\CheckArea">OFFSET(_集計表!$E$10,0,0,COUNTA(_集計表!$E:$E)-1,1)</definedName>
    <definedName name="\TOTAL\CheckList">OFFSET(_集計表!$D$10,0,0,COUNTA(_集計表!$D:$D)-5,1)</definedName>
    <definedName name="\TOTAL\Rate">OFFSET(_集計表!$H$10,0,0,COUNTA(_集計表!$H:$H)-1,1)</definedName>
    <definedName name="\TOTAL\TestCount">_集計表!$M$4</definedName>
    <definedName name="\TOTAL\Total">_集計表!$E$9</definedName>
    <definedName name="Heigt">GET.CELL(17)</definedName>
    <definedName name="_xlnm.Print_Area" localSheetId="12">'_4-X.画面'!$A$1:$BL$40</definedName>
    <definedName name="_xlnm.Print_Area" localSheetId="14">'_4-X.機能'!$B$1:$BK$23</definedName>
    <definedName name="_xlnm.Print_Area" localSheetId="13">'_4-X.項目'!$A$1:$BL$40</definedName>
    <definedName name="_xlnm.Print_Area" localSheetId="15">_レイアウト汎用!$A$1:$BL$40</definedName>
    <definedName name="_xlnm.Print_Area" localSheetId="11">_集計表!$A$1:$O$42</definedName>
    <definedName name="_xlnm.Print_Area" localSheetId="3">'1.適用'!$A$1:$BL$40</definedName>
    <definedName name="_xlnm.Print_Area" localSheetId="4">'2.目的'!$A$1:$BL$40</definedName>
    <definedName name="_xlnm.Print_Area" localSheetId="5">'3.実施範囲'!$A$1:$BL$40</definedName>
    <definedName name="_xlnm.Print_Area" localSheetId="6">'4.実施計画'!$A$1:$BL$40</definedName>
    <definedName name="_xlnm.Print_Area" localSheetId="7">'5.実施環境'!$A$1:$BL$40</definedName>
    <definedName name="_xlnm.Print_Area" localSheetId="8">'6.検査基準'!$A$1:$BL$40</definedName>
    <definedName name="_xlnm.Print_Area" localSheetId="9">'7-1-1.テスト(1)'!$A$1:$P$51</definedName>
    <definedName name="_xlnm.Print_Area" localSheetId="10">'8.検査記録'!$A$1:$O$22</definedName>
    <definedName name="_xlnm.Print_Area" localSheetId="1">改訂履歴!$A$1:$K$34</definedName>
    <definedName name="_xlnm.Print_Area" localSheetId="0">表紙!$A$1:$J$36</definedName>
    <definedName name="_xlnm.Print_Titles" localSheetId="12">'_4-X.画面'!$1:$3</definedName>
    <definedName name="_xlnm.Print_Titles" localSheetId="14">'_4-X.機能'!$1:$5</definedName>
    <definedName name="_xlnm.Print_Titles" localSheetId="13">'_4-X.項目'!$1:$3</definedName>
    <definedName name="_xlnm.Print_Titles" localSheetId="15">_レイアウト汎用!$1:$3</definedName>
    <definedName name="_xlnm.Print_Titles" localSheetId="3">'1.適用'!$1:$5</definedName>
    <definedName name="_xlnm.Print_Titles" localSheetId="4">'2.目的'!$1:$5</definedName>
    <definedName name="_xlnm.Print_Titles" localSheetId="5">'3.実施範囲'!$1:$5</definedName>
    <definedName name="_xlnm.Print_Titles" localSheetId="6">'4.実施計画'!$1:$5</definedName>
    <definedName name="_xlnm.Print_Titles" localSheetId="7">'5.実施環境'!$1:$5</definedName>
    <definedName name="_xlnm.Print_Titles" localSheetId="8">'6.検査基準'!$1:$5</definedName>
    <definedName name="_xlnm.Print_Titles" localSheetId="9">'7-1-1.テスト(1)'!$1:$9</definedName>
    <definedName name="_xlnm.Print_Titles" localSheetId="10">'8.検査記録'!$1:$6</definedName>
    <definedName name="_xlnm.Print_Titles" localSheetId="1">改訂履歴!$1:$3</definedName>
    <definedName name="_xlnm.Print_Titles" localSheetId="2">目次!$1:$3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1" i="306" l="1"/>
  <c r="B50" i="306"/>
  <c r="B49" i="306"/>
  <c r="B48" i="306"/>
  <c r="B47" i="306"/>
  <c r="B46" i="306"/>
  <c r="B45" i="306"/>
  <c r="B44" i="306"/>
  <c r="B43" i="306"/>
  <c r="B42" i="306"/>
  <c r="B41" i="306"/>
  <c r="B40" i="306"/>
  <c r="B39" i="306"/>
  <c r="B38" i="306"/>
  <c r="B37" i="306"/>
  <c r="B36" i="306"/>
  <c r="B35" i="306"/>
  <c r="B34" i="306"/>
  <c r="B33" i="306"/>
  <c r="B32" i="306"/>
  <c r="B31" i="306"/>
  <c r="B30" i="306"/>
  <c r="B29" i="306"/>
  <c r="B28" i="306"/>
  <c r="B27" i="306"/>
  <c r="B26" i="306"/>
  <c r="B25" i="306"/>
  <c r="B24" i="306"/>
  <c r="B23" i="306"/>
  <c r="B22" i="306"/>
  <c r="B21" i="306"/>
  <c r="B20" i="306"/>
  <c r="B19" i="306"/>
  <c r="B18" i="306"/>
  <c r="B17" i="306"/>
  <c r="B16" i="306"/>
  <c r="B15" i="306"/>
  <c r="B14" i="306"/>
  <c r="B13" i="306"/>
  <c r="B12" i="306"/>
  <c r="B11" i="306"/>
  <c r="Z3" i="33"/>
  <c r="Z33" i="33"/>
  <c r="Z25" i="33"/>
  <c r="Z17" i="33"/>
  <c r="Z9" i="33"/>
  <c r="Z38" i="33"/>
  <c r="Z30" i="33"/>
  <c r="Z22" i="33"/>
  <c r="Z14" i="33"/>
  <c r="Z35" i="33"/>
  <c r="Z11" i="33"/>
  <c r="Z16" i="33"/>
  <c r="Z1" i="33"/>
  <c r="Z31" i="33"/>
  <c r="Z23" i="33"/>
  <c r="Z15" i="33"/>
  <c r="Z6" i="33"/>
  <c r="Z36" i="33"/>
  <c r="Z28" i="33"/>
  <c r="Z20" i="33"/>
  <c r="Z12" i="33"/>
  <c r="Z10" i="33"/>
  <c r="Z27" i="33"/>
  <c r="Z2" i="33"/>
  <c r="Z24" i="33"/>
  <c r="Z8" i="33"/>
  <c r="Z37" i="33"/>
  <c r="Z29" i="33"/>
  <c r="Z21" i="33"/>
  <c r="Z13" i="33"/>
  <c r="Z4" i="33"/>
  <c r="Z34" i="33"/>
  <c r="Z26" i="33"/>
  <c r="Z18" i="33"/>
  <c r="Z19" i="33"/>
  <c r="Z32" i="33"/>
  <c r="T6" i="293" l="1"/>
  <c r="H12" i="298" l="1"/>
  <c r="H13" i="298"/>
  <c r="H14" i="298"/>
  <c r="H15" i="298"/>
  <c r="H11" i="298" l="1"/>
  <c r="H10" i="298"/>
  <c r="D7" i="275" l="1"/>
  <c r="E4" i="302" l="1"/>
  <c r="D4" i="302"/>
  <c r="O2" i="298" l="1"/>
  <c r="O1" i="298"/>
  <c r="M6" i="298"/>
  <c r="D7" i="298"/>
  <c r="D6" i="298"/>
  <c r="D5" i="298"/>
  <c r="D4" i="298"/>
  <c r="G7" i="85"/>
  <c r="K4" i="298" l="1"/>
  <c r="O6" i="298" s="1"/>
  <c r="O4" i="29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habe</author>
  </authors>
  <commentList>
    <comment ref="G20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文字色が"白"となっています。初版担当者氏名が必要な場合は"黒"に変更して下さい。</t>
        </r>
      </text>
    </comment>
    <comment ref="G21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文字色が"白"となっています。最終担当者氏名を表示する場合は"黒"に変更して下さい。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jsato</author>
  </authors>
  <commentList>
    <comment ref="AZ1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jsato:</t>
        </r>
        <r>
          <rPr>
            <sz val="9"/>
            <color indexed="81"/>
            <rFont val="ＭＳ Ｐゴシック"/>
            <family val="3"/>
            <charset val="128"/>
          </rPr>
          <t xml:space="preserve">
署名/日付が不要な場合は、文字色を白にする等して消してください。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<sst xmlns="http://schemas.openxmlformats.org/spreadsheetml/2006/main" count="484" uniqueCount="287">
  <si>
    <t>承認者</t>
    <rPh sb="0" eb="2">
      <t>ショウニン</t>
    </rPh>
    <rPh sb="2" eb="3">
      <t>シャ</t>
    </rPh>
    <phoneticPr fontId="3"/>
  </si>
  <si>
    <t>日付</t>
    <rPh sb="0" eb="2">
      <t>ヒヅケ</t>
    </rPh>
    <phoneticPr fontId="3"/>
  </si>
  <si>
    <t>殿</t>
  </si>
  <si>
    <t>承認</t>
    <rPh sb="0" eb="2">
      <t>ショウニン</t>
    </rPh>
    <phoneticPr fontId="3"/>
  </si>
  <si>
    <t>作成</t>
    <rPh sb="0" eb="2">
      <t>サクセイ</t>
    </rPh>
    <phoneticPr fontId="3"/>
  </si>
  <si>
    <t>システム名</t>
    <rPh sb="4" eb="5">
      <t>メイ</t>
    </rPh>
    <phoneticPr fontId="3"/>
  </si>
  <si>
    <t>初  版</t>
    <rPh sb="0" eb="1">
      <t>ショ</t>
    </rPh>
    <rPh sb="3" eb="4">
      <t>ハン</t>
    </rPh>
    <phoneticPr fontId="3"/>
  </si>
  <si>
    <t>種別</t>
    <rPh sb="0" eb="2">
      <t>シュベツ</t>
    </rPh>
    <phoneticPr fontId="3"/>
  </si>
  <si>
    <t>最終版</t>
    <rPh sb="0" eb="2">
      <t>サイシュウ</t>
    </rPh>
    <rPh sb="2" eb="3">
      <t>ハン</t>
    </rPh>
    <phoneticPr fontId="3"/>
  </si>
  <si>
    <t>新規</t>
    <rPh sb="0" eb="2">
      <t>シンキ</t>
    </rPh>
    <phoneticPr fontId="3"/>
  </si>
  <si>
    <t>ドキュメントNo.</t>
    <phoneticPr fontId="3"/>
  </si>
  <si>
    <t>契約先名</t>
    <phoneticPr fontId="3"/>
  </si>
  <si>
    <t>需要先名</t>
    <phoneticPr fontId="3"/>
  </si>
  <si>
    <t>ドキュメント名</t>
    <phoneticPr fontId="3"/>
  </si>
  <si>
    <t>目次</t>
    <rPh sb="0" eb="2">
      <t>モクジ</t>
    </rPh>
    <phoneticPr fontId="3"/>
  </si>
  <si>
    <t>ページ</t>
    <phoneticPr fontId="3"/>
  </si>
  <si>
    <t>内容</t>
    <rPh sb="0" eb="2">
      <t>ナイヨウ</t>
    </rPh>
    <phoneticPr fontId="3"/>
  </si>
  <si>
    <t>1.適用</t>
  </si>
  <si>
    <t>No.</t>
    <phoneticPr fontId="3"/>
  </si>
  <si>
    <t>区分</t>
    <rPh sb="0" eb="2">
      <t>クブン</t>
    </rPh>
    <phoneticPr fontId="3"/>
  </si>
  <si>
    <t>項目名称</t>
    <rPh sb="0" eb="2">
      <t>コウモク</t>
    </rPh>
    <rPh sb="2" eb="4">
      <t>メイショウ</t>
    </rPh>
    <phoneticPr fontId="3"/>
  </si>
  <si>
    <t>備考</t>
    <rPh sb="0" eb="2">
      <t>ビコウ</t>
    </rPh>
    <phoneticPr fontId="3"/>
  </si>
  <si>
    <t>アクション名</t>
    <rPh sb="5" eb="6">
      <t>メイ</t>
    </rPh>
    <phoneticPr fontId="3"/>
  </si>
  <si>
    <t>イベント名</t>
    <rPh sb="4" eb="5">
      <t>メイ</t>
    </rPh>
    <phoneticPr fontId="3"/>
  </si>
  <si>
    <t>処理内容</t>
    <rPh sb="0" eb="2">
      <t>ショリ</t>
    </rPh>
    <rPh sb="2" eb="4">
      <t>ナイヨウ</t>
    </rPh>
    <phoneticPr fontId="3"/>
  </si>
  <si>
    <t>ｿｰﾄ</t>
    <phoneticPr fontId="3"/>
  </si>
  <si>
    <t>書式</t>
    <rPh sb="0" eb="2">
      <t>ショシキ</t>
    </rPh>
    <phoneticPr fontId="3"/>
  </si>
  <si>
    <t>協立電機株式会社</t>
    <rPh sb="0" eb="2">
      <t>キョウリツ</t>
    </rPh>
    <rPh sb="2" eb="4">
      <t>デンキ</t>
    </rPh>
    <phoneticPr fontId="3"/>
  </si>
  <si>
    <t>型</t>
    <rPh sb="0" eb="1">
      <t>カタ</t>
    </rPh>
    <phoneticPr fontId="3"/>
  </si>
  <si>
    <t>表示値/初期値</t>
    <rPh sb="0" eb="2">
      <t>ヒョウジ</t>
    </rPh>
    <rPh sb="2" eb="3">
      <t>チ</t>
    </rPh>
    <rPh sb="4" eb="7">
      <t>ショキチ</t>
    </rPh>
    <phoneticPr fontId="3"/>
  </si>
  <si>
    <t>0000</t>
    <phoneticPr fontId="3"/>
  </si>
  <si>
    <t>必須</t>
    <rPh sb="0" eb="2">
      <t>ヒッス</t>
    </rPh>
    <phoneticPr fontId="3"/>
  </si>
  <si>
    <r>
      <t>N</t>
    </r>
    <r>
      <rPr>
        <sz val="11"/>
        <rFont val="ＭＳ Ｐゴシック"/>
        <family val="3"/>
        <charset val="128"/>
        <scheme val="major"/>
      </rPr>
      <t>o.</t>
    </r>
    <phoneticPr fontId="3"/>
  </si>
  <si>
    <t>範囲</t>
    <rPh sb="0" eb="2">
      <t>ハンイ</t>
    </rPh>
    <phoneticPr fontId="3"/>
  </si>
  <si>
    <t>位置</t>
    <rPh sb="0" eb="2">
      <t>イチ</t>
    </rPh>
    <phoneticPr fontId="3"/>
  </si>
  <si>
    <t>TPD-04-001</t>
    <phoneticPr fontId="3"/>
  </si>
  <si>
    <t>期間</t>
    <rPh sb="0" eb="2">
      <t>キカン</t>
    </rPh>
    <phoneticPr fontId="3"/>
  </si>
  <si>
    <t>～</t>
    <phoneticPr fontId="3"/>
  </si>
  <si>
    <t>場所</t>
    <rPh sb="0" eb="2">
      <t>バショ</t>
    </rPh>
    <phoneticPr fontId="3"/>
  </si>
  <si>
    <t>立会者</t>
    <rPh sb="0" eb="2">
      <t>タチアイ</t>
    </rPh>
    <rPh sb="2" eb="3">
      <t>シャ</t>
    </rPh>
    <phoneticPr fontId="3"/>
  </si>
  <si>
    <t>当社担当者</t>
    <rPh sb="0" eb="2">
      <t>トウシャ</t>
    </rPh>
    <rPh sb="2" eb="5">
      <t>タントウシャ</t>
    </rPh>
    <phoneticPr fontId="3"/>
  </si>
  <si>
    <t>参考文書</t>
    <rPh sb="0" eb="2">
      <t>サンコウ</t>
    </rPh>
    <rPh sb="2" eb="4">
      <t>ブンショ</t>
    </rPh>
    <phoneticPr fontId="3"/>
  </si>
  <si>
    <t>-</t>
    <phoneticPr fontId="3"/>
  </si>
  <si>
    <t>-</t>
    <phoneticPr fontId="3"/>
  </si>
  <si>
    <t>-</t>
    <phoneticPr fontId="3"/>
  </si>
  <si>
    <t>-</t>
    <phoneticPr fontId="3"/>
  </si>
  <si>
    <t>-</t>
    <phoneticPr fontId="3"/>
  </si>
  <si>
    <t>エンジニアリング担当</t>
    <rPh sb="8" eb="10">
      <t>タントウ</t>
    </rPh>
    <phoneticPr fontId="3"/>
  </si>
  <si>
    <t>第二ＳＩ技術部</t>
    <rPh sb="0" eb="1">
      <t>ダイ</t>
    </rPh>
    <rPh sb="1" eb="2">
      <t>ニ</t>
    </rPh>
    <rPh sb="4" eb="6">
      <t>ギジュツ</t>
    </rPh>
    <rPh sb="6" eb="7">
      <t>ブ</t>
    </rPh>
    <phoneticPr fontId="3"/>
  </si>
  <si>
    <t>手順</t>
    <rPh sb="0" eb="2">
      <t>テジュン</t>
    </rPh>
    <phoneticPr fontId="3"/>
  </si>
  <si>
    <t>予期される結果</t>
    <rPh sb="0" eb="2">
      <t>ヨキ</t>
    </rPh>
    <rPh sb="5" eb="7">
      <t>ケッカ</t>
    </rPh>
    <phoneticPr fontId="3"/>
  </si>
  <si>
    <t>確認者</t>
    <rPh sb="0" eb="2">
      <t>カクニン</t>
    </rPh>
    <rPh sb="2" eb="3">
      <t>シャ</t>
    </rPh>
    <phoneticPr fontId="3"/>
  </si>
  <si>
    <t>確認日</t>
    <rPh sb="0" eb="2">
      <t>カクニン</t>
    </rPh>
    <rPh sb="2" eb="3">
      <t>ビ</t>
    </rPh>
    <phoneticPr fontId="3"/>
  </si>
  <si>
    <t>概要</t>
    <rPh sb="0" eb="2">
      <t>ガイヨウ</t>
    </rPh>
    <phoneticPr fontId="3"/>
  </si>
  <si>
    <t>注記</t>
    <rPh sb="0" eb="2">
      <t>チュウキ</t>
    </rPh>
    <phoneticPr fontId="3"/>
  </si>
  <si>
    <t>判定</t>
    <rPh sb="0" eb="2">
      <t>ハンテイ</t>
    </rPh>
    <phoneticPr fontId="3"/>
  </si>
  <si>
    <t>実施日</t>
    <rPh sb="0" eb="2">
      <t>ジッシ</t>
    </rPh>
    <rPh sb="2" eb="3">
      <t>ビ</t>
    </rPh>
    <phoneticPr fontId="3"/>
  </si>
  <si>
    <t>対応者</t>
    <rPh sb="0" eb="2">
      <t>タイオウ</t>
    </rPh>
    <rPh sb="2" eb="3">
      <t>シャ</t>
    </rPh>
    <phoneticPr fontId="3"/>
  </si>
  <si>
    <t>処置／対応内容</t>
    <rPh sb="0" eb="2">
      <t>ショチ</t>
    </rPh>
    <rPh sb="3" eb="5">
      <t>タイオウ</t>
    </rPh>
    <rPh sb="5" eb="7">
      <t>ナイヨウ</t>
    </rPh>
    <phoneticPr fontId="3"/>
  </si>
  <si>
    <t>検査手順に従い操作（あるいはチェック）を行い、予期された結果となった場合、合格（OK)とする。</t>
    <rPh sb="0" eb="2">
      <t>ケンサ</t>
    </rPh>
    <rPh sb="2" eb="4">
      <t>テジュン</t>
    </rPh>
    <rPh sb="5" eb="6">
      <t>シタガ</t>
    </rPh>
    <rPh sb="7" eb="9">
      <t>ソウサ</t>
    </rPh>
    <rPh sb="20" eb="21">
      <t>オコナ</t>
    </rPh>
    <rPh sb="23" eb="25">
      <t>ヨキ</t>
    </rPh>
    <rPh sb="28" eb="30">
      <t>ケッカ</t>
    </rPh>
    <rPh sb="34" eb="36">
      <t>バアイ</t>
    </rPh>
    <rPh sb="37" eb="39">
      <t>ゴウカク</t>
    </rPh>
    <phoneticPr fontId="3"/>
  </si>
  <si>
    <t>発生日</t>
    <rPh sb="0" eb="2">
      <t>ハッセイ</t>
    </rPh>
    <rPh sb="2" eb="3">
      <t>ビ</t>
    </rPh>
    <phoneticPr fontId="3"/>
  </si>
  <si>
    <t>予期された結果にならなかった場合、不合格（NG)とし、検査記録に不具合内容、発生日、対応者、対応期限を記入する。</t>
    <rPh sb="0" eb="2">
      <t>ヨキ</t>
    </rPh>
    <rPh sb="5" eb="7">
      <t>ケッカ</t>
    </rPh>
    <rPh sb="14" eb="16">
      <t>バアイ</t>
    </rPh>
    <rPh sb="17" eb="20">
      <t>フゴウカク</t>
    </rPh>
    <rPh sb="27" eb="29">
      <t>ケンサ</t>
    </rPh>
    <rPh sb="29" eb="31">
      <t>キロク</t>
    </rPh>
    <rPh sb="32" eb="35">
      <t>フグアイ</t>
    </rPh>
    <rPh sb="35" eb="37">
      <t>ナイヨウ</t>
    </rPh>
    <rPh sb="38" eb="40">
      <t>ハッセイ</t>
    </rPh>
    <rPh sb="40" eb="41">
      <t>ビ</t>
    </rPh>
    <rPh sb="42" eb="44">
      <t>タイオウ</t>
    </rPh>
    <rPh sb="44" eb="45">
      <t>シャ</t>
    </rPh>
    <rPh sb="46" eb="48">
      <t>タイオウ</t>
    </rPh>
    <rPh sb="48" eb="50">
      <t>キゲン</t>
    </rPh>
    <rPh sb="51" eb="53">
      <t>キニュウ</t>
    </rPh>
    <phoneticPr fontId="3"/>
  </si>
  <si>
    <t>検査記録の不具合は、対応者が処置あるいは対応内容を記入し、確認者が対応内容の確認および再検査を行い、合格(OK)の場合、確認者と確認日を記入する。</t>
    <rPh sb="0" eb="2">
      <t>ケンサ</t>
    </rPh>
    <rPh sb="2" eb="4">
      <t>キロク</t>
    </rPh>
    <rPh sb="5" eb="8">
      <t>フグアイ</t>
    </rPh>
    <rPh sb="10" eb="12">
      <t>タイオウ</t>
    </rPh>
    <rPh sb="12" eb="13">
      <t>シャ</t>
    </rPh>
    <rPh sb="14" eb="16">
      <t>ショチ</t>
    </rPh>
    <rPh sb="20" eb="22">
      <t>タイオウ</t>
    </rPh>
    <rPh sb="22" eb="24">
      <t>ナイヨウ</t>
    </rPh>
    <rPh sb="25" eb="27">
      <t>キニュウ</t>
    </rPh>
    <rPh sb="29" eb="31">
      <t>カクニン</t>
    </rPh>
    <rPh sb="31" eb="32">
      <t>シャ</t>
    </rPh>
    <rPh sb="33" eb="35">
      <t>タイオウ</t>
    </rPh>
    <rPh sb="35" eb="37">
      <t>ナイヨウ</t>
    </rPh>
    <rPh sb="38" eb="40">
      <t>カクニン</t>
    </rPh>
    <rPh sb="43" eb="46">
      <t>サイケンサ</t>
    </rPh>
    <rPh sb="47" eb="48">
      <t>オコナ</t>
    </rPh>
    <rPh sb="50" eb="52">
      <t>ゴウカク</t>
    </rPh>
    <rPh sb="57" eb="59">
      <t>バアイ</t>
    </rPh>
    <rPh sb="60" eb="62">
      <t>カクニン</t>
    </rPh>
    <rPh sb="62" eb="63">
      <t>シャ</t>
    </rPh>
    <rPh sb="64" eb="66">
      <t>カクニン</t>
    </rPh>
    <rPh sb="66" eb="67">
      <t>ビ</t>
    </rPh>
    <rPh sb="68" eb="70">
      <t>キニュウ</t>
    </rPh>
    <phoneticPr fontId="3"/>
  </si>
  <si>
    <t>2.目的</t>
  </si>
  <si>
    <t>3.実施範囲</t>
  </si>
  <si>
    <t>4.実施計画</t>
  </si>
  <si>
    <t>5.実施環境</t>
  </si>
  <si>
    <t>-</t>
    <phoneticPr fontId="3"/>
  </si>
  <si>
    <t>-</t>
    <phoneticPr fontId="3"/>
  </si>
  <si>
    <t>-</t>
    <phoneticPr fontId="3"/>
  </si>
  <si>
    <t>-</t>
    <phoneticPr fontId="3"/>
  </si>
  <si>
    <t>-</t>
    <phoneticPr fontId="3"/>
  </si>
  <si>
    <t>-</t>
    <phoneticPr fontId="3"/>
  </si>
  <si>
    <t>(署名/日付）</t>
    <rPh sb="1" eb="3">
      <t>ショメイ</t>
    </rPh>
    <rPh sb="4" eb="6">
      <t>ヒヅケ</t>
    </rPh>
    <phoneticPr fontId="3"/>
  </si>
  <si>
    <t>Webの管理ツールなどで、時間によりセッションが切れるなど操作が正しくできない場合、ツールを再起動し、予期される結果が得られた場合は、判定はOKとする。</t>
    <rPh sb="4" eb="6">
      <t>カンリ</t>
    </rPh>
    <rPh sb="13" eb="15">
      <t>ジカン</t>
    </rPh>
    <rPh sb="24" eb="25">
      <t>キ</t>
    </rPh>
    <rPh sb="29" eb="31">
      <t>ソウサ</t>
    </rPh>
    <rPh sb="32" eb="33">
      <t>タダ</t>
    </rPh>
    <rPh sb="39" eb="41">
      <t>バアイ</t>
    </rPh>
    <rPh sb="46" eb="49">
      <t>サイキドウ</t>
    </rPh>
    <rPh sb="51" eb="53">
      <t>ヨキ</t>
    </rPh>
    <rPh sb="56" eb="58">
      <t>ケッカ</t>
    </rPh>
    <rPh sb="59" eb="60">
      <t>エ</t>
    </rPh>
    <rPh sb="63" eb="65">
      <t>バアイ</t>
    </rPh>
    <rPh sb="67" eb="69">
      <t>ハンテイ</t>
    </rPh>
    <phoneticPr fontId="3"/>
  </si>
  <si>
    <t>特記事項</t>
    <rPh sb="0" eb="2">
      <t>トッキ</t>
    </rPh>
    <rPh sb="2" eb="4">
      <t>ジコウ</t>
    </rPh>
    <phoneticPr fontId="3"/>
  </si>
  <si>
    <t>サーバ起動直後など、仮想化基盤や監視のサービスが起動するまで時間が掛かる場合がある。</t>
    <rPh sb="3" eb="5">
      <t>キドウ</t>
    </rPh>
    <rPh sb="5" eb="7">
      <t>チョクゴ</t>
    </rPh>
    <rPh sb="10" eb="12">
      <t>カソウ</t>
    </rPh>
    <rPh sb="12" eb="13">
      <t>カ</t>
    </rPh>
    <rPh sb="13" eb="15">
      <t>キバン</t>
    </rPh>
    <rPh sb="16" eb="18">
      <t>カンシ</t>
    </rPh>
    <rPh sb="24" eb="26">
      <t>キドウ</t>
    </rPh>
    <rPh sb="30" eb="32">
      <t>ジカン</t>
    </rPh>
    <rPh sb="33" eb="34">
      <t>カ</t>
    </rPh>
    <rPh sb="36" eb="38">
      <t>バアイ</t>
    </rPh>
    <phoneticPr fontId="3"/>
  </si>
  <si>
    <t>適宜 時間をおいて操作するか、しばらくしてから再度確認を行う。</t>
    <rPh sb="23" eb="25">
      <t>サイド</t>
    </rPh>
    <rPh sb="25" eb="27">
      <t>カクニン</t>
    </rPh>
    <rPh sb="28" eb="29">
      <t>オコナ</t>
    </rPh>
    <phoneticPr fontId="3"/>
  </si>
  <si>
    <t>一つの操作手順に対して、複数の確認対象に予期される結果が存在する場合、本書の順番にならないケースがある。</t>
    <rPh sb="0" eb="1">
      <t>ヒト</t>
    </rPh>
    <rPh sb="3" eb="5">
      <t>ソウサ</t>
    </rPh>
    <rPh sb="5" eb="7">
      <t>テジュン</t>
    </rPh>
    <rPh sb="8" eb="9">
      <t>タイ</t>
    </rPh>
    <rPh sb="12" eb="14">
      <t>フクスウ</t>
    </rPh>
    <rPh sb="15" eb="17">
      <t>カクニン</t>
    </rPh>
    <rPh sb="17" eb="19">
      <t>タイショウ</t>
    </rPh>
    <rPh sb="20" eb="22">
      <t>ヨキ</t>
    </rPh>
    <rPh sb="25" eb="27">
      <t>ケッカ</t>
    </rPh>
    <rPh sb="28" eb="30">
      <t>ソンザイ</t>
    </rPh>
    <rPh sb="32" eb="34">
      <t>バアイ</t>
    </rPh>
    <rPh sb="35" eb="37">
      <t>ホンショ</t>
    </rPh>
    <rPh sb="38" eb="40">
      <t>ジュンバン</t>
    </rPh>
    <phoneticPr fontId="3"/>
  </si>
  <si>
    <t>順番が明らかに指定されていない場合は、予期される結果が前後しても判定はOKとする。</t>
    <rPh sb="0" eb="2">
      <t>ジュンバン</t>
    </rPh>
    <rPh sb="3" eb="4">
      <t>アキ</t>
    </rPh>
    <rPh sb="7" eb="9">
      <t>シテイ</t>
    </rPh>
    <rPh sb="15" eb="17">
      <t>バアイ</t>
    </rPh>
    <rPh sb="19" eb="21">
      <t>ヨキ</t>
    </rPh>
    <rPh sb="24" eb="26">
      <t>ケッカ</t>
    </rPh>
    <rPh sb="27" eb="29">
      <t>ゼンゴ</t>
    </rPh>
    <rPh sb="32" eb="34">
      <t>ハンテイ</t>
    </rPh>
    <phoneticPr fontId="3"/>
  </si>
  <si>
    <t>検査手順は、一つの検査に必要な手順を一連の流れで記載している。このため、検査の順番や再確認で、その手順が不要となるケースがある。</t>
    <rPh sb="0" eb="2">
      <t>ケンサ</t>
    </rPh>
    <rPh sb="2" eb="4">
      <t>テジュン</t>
    </rPh>
    <rPh sb="6" eb="7">
      <t>ヒト</t>
    </rPh>
    <rPh sb="9" eb="11">
      <t>ケンサ</t>
    </rPh>
    <rPh sb="12" eb="14">
      <t>ヒツヨウ</t>
    </rPh>
    <rPh sb="15" eb="17">
      <t>テジュン</t>
    </rPh>
    <rPh sb="18" eb="20">
      <t>イチレン</t>
    </rPh>
    <rPh sb="21" eb="22">
      <t>ナガ</t>
    </rPh>
    <rPh sb="24" eb="26">
      <t>キサイ</t>
    </rPh>
    <rPh sb="36" eb="38">
      <t>ケンサ</t>
    </rPh>
    <rPh sb="39" eb="41">
      <t>ジュンバン</t>
    </rPh>
    <rPh sb="42" eb="45">
      <t>サイカクニン</t>
    </rPh>
    <rPh sb="49" eb="51">
      <t>テジュン</t>
    </rPh>
    <rPh sb="52" eb="54">
      <t>フヨウ</t>
    </rPh>
    <phoneticPr fontId="3"/>
  </si>
  <si>
    <t>差異不可が明らかに指定されていない場合、3％程度の差異に関して、判定はＯＫとする。</t>
    <rPh sb="0" eb="2">
      <t>サイ</t>
    </rPh>
    <rPh sb="2" eb="4">
      <t>フカ</t>
    </rPh>
    <rPh sb="5" eb="6">
      <t>アキ</t>
    </rPh>
    <rPh sb="9" eb="11">
      <t>シテイ</t>
    </rPh>
    <rPh sb="17" eb="19">
      <t>バアイ</t>
    </rPh>
    <rPh sb="22" eb="24">
      <t>テイド</t>
    </rPh>
    <rPh sb="25" eb="27">
      <t>サイ</t>
    </rPh>
    <rPh sb="28" eb="29">
      <t>カン</t>
    </rPh>
    <rPh sb="32" eb="34">
      <t>ハンテイ</t>
    </rPh>
    <phoneticPr fontId="3"/>
  </si>
  <si>
    <t>判定が斜線項目は、検査の対象外とする。</t>
    <rPh sb="0" eb="2">
      <t>ハンテイ</t>
    </rPh>
    <rPh sb="3" eb="5">
      <t>シャセン</t>
    </rPh>
    <rPh sb="5" eb="7">
      <t>コウモク</t>
    </rPh>
    <rPh sb="9" eb="11">
      <t>ケンサ</t>
    </rPh>
    <rPh sb="12" eb="15">
      <t>タイショウガイ</t>
    </rPh>
    <phoneticPr fontId="3"/>
  </si>
  <si>
    <t>2)</t>
    <phoneticPr fontId="3"/>
  </si>
  <si>
    <t>KB/MB/GBの単位で表記される数値項目の場合、その変換差異（1024 or 1000)やOS、アプリケーションによって差異が発生するケースがある。</t>
    <rPh sb="9" eb="11">
      <t>タンイ</t>
    </rPh>
    <rPh sb="12" eb="14">
      <t>ヒョウキ</t>
    </rPh>
    <rPh sb="17" eb="19">
      <t>スウチ</t>
    </rPh>
    <rPh sb="19" eb="21">
      <t>コウモク</t>
    </rPh>
    <rPh sb="22" eb="24">
      <t>バアイ</t>
    </rPh>
    <rPh sb="27" eb="29">
      <t>ヘンカン</t>
    </rPh>
    <rPh sb="29" eb="31">
      <t>サイ</t>
    </rPh>
    <rPh sb="61" eb="63">
      <t>サイ</t>
    </rPh>
    <rPh sb="64" eb="66">
      <t>ハッセイ</t>
    </rPh>
    <phoneticPr fontId="3"/>
  </si>
  <si>
    <t>また、ステータスの変化などの確認で、管理ツールの画面リフレッシュ(更新）などの操作で予期される結果が得られた場合も、判定はＯＫとする。</t>
    <rPh sb="9" eb="11">
      <t>ヘンカ</t>
    </rPh>
    <rPh sb="14" eb="16">
      <t>カクニン</t>
    </rPh>
    <rPh sb="18" eb="20">
      <t>カンリ</t>
    </rPh>
    <rPh sb="24" eb="26">
      <t>ガメン</t>
    </rPh>
    <rPh sb="33" eb="35">
      <t>コウシン</t>
    </rPh>
    <rPh sb="39" eb="41">
      <t>ソウサ</t>
    </rPh>
    <rPh sb="42" eb="44">
      <t>ヨキ</t>
    </rPh>
    <rPh sb="47" eb="49">
      <t>ケッカ</t>
    </rPh>
    <rPh sb="50" eb="51">
      <t>エ</t>
    </rPh>
    <rPh sb="54" eb="56">
      <t>バアイ</t>
    </rPh>
    <rPh sb="58" eb="60">
      <t>ハンテイ</t>
    </rPh>
    <phoneticPr fontId="3"/>
  </si>
  <si>
    <t>照査</t>
    <rPh sb="0" eb="2">
      <t>ショウサ</t>
    </rPh>
    <phoneticPr fontId="3"/>
  </si>
  <si>
    <t>完了</t>
    <rPh sb="0" eb="2">
      <t>カンリョウ</t>
    </rPh>
    <phoneticPr fontId="3"/>
  </si>
  <si>
    <t>照査者</t>
    <rPh sb="0" eb="2">
      <t>ショウサ</t>
    </rPh>
    <rPh sb="2" eb="3">
      <t>シャ</t>
    </rPh>
    <phoneticPr fontId="3"/>
  </si>
  <si>
    <t>○○○○株式会社</t>
    <rPh sb="4" eb="8">
      <t>カブシキガイシャ</t>
    </rPh>
    <phoneticPr fontId="3"/>
  </si>
  <si>
    <t>同上</t>
    <rPh sb="0" eb="2">
      <t>ドウジョウ</t>
    </rPh>
    <phoneticPr fontId="3"/>
  </si>
  <si>
    <t>○○○○システム</t>
    <phoneticPr fontId="3"/>
  </si>
  <si>
    <t>社内検査記録書</t>
    <rPh sb="0" eb="2">
      <t>シャナイ</t>
    </rPh>
    <rPh sb="2" eb="4">
      <t>ケンサ</t>
    </rPh>
    <rPh sb="4" eb="7">
      <t>キロクショ</t>
    </rPh>
    <phoneticPr fontId="3"/>
  </si>
  <si>
    <t>C7xxxxxxx</t>
    <phoneticPr fontId="3"/>
  </si>
  <si>
    <t>御確認</t>
    <rPh sb="0" eb="3">
      <t>ゴカクニン</t>
    </rPh>
    <phoneticPr fontId="3"/>
  </si>
  <si>
    <t>本書は、</t>
    <rPh sb="0" eb="1">
      <t>ホン</t>
    </rPh>
    <rPh sb="1" eb="2">
      <t>ショ</t>
    </rPh>
    <phoneticPr fontId="3"/>
  </si>
  <si>
    <t>○○○の確認を行います。</t>
    <rPh sb="4" eb="6">
      <t>カクニン</t>
    </rPh>
    <rPh sb="7" eb="8">
      <t>オコナ</t>
    </rPh>
    <phoneticPr fontId="3"/>
  </si>
  <si>
    <t>△△△の確認を行います。</t>
    <rPh sb="4" eb="6">
      <t>カクニン</t>
    </rPh>
    <rPh sb="7" eb="8">
      <t>オコナ</t>
    </rPh>
    <phoneticPr fontId="3"/>
  </si>
  <si>
    <t>□□□の確認を行います。</t>
    <rPh sb="4" eb="6">
      <t>カクニン</t>
    </rPh>
    <rPh sb="7" eb="8">
      <t>オコナ</t>
    </rPh>
    <phoneticPr fontId="3"/>
  </si>
  <si>
    <t>担当者名</t>
    <rPh sb="0" eb="3">
      <t>タントウシャ</t>
    </rPh>
    <rPh sb="3" eb="4">
      <t>メイ</t>
    </rPh>
    <phoneticPr fontId="3"/>
  </si>
  <si>
    <t>チェック項目数</t>
    <rPh sb="4" eb="7">
      <t>コウモクスウ</t>
    </rPh>
    <phoneticPr fontId="3"/>
  </si>
  <si>
    <t>想定バグ数</t>
    <rPh sb="0" eb="2">
      <t>ソウテイ</t>
    </rPh>
    <rPh sb="4" eb="5">
      <t>スウ</t>
    </rPh>
    <phoneticPr fontId="3"/>
  </si>
  <si>
    <t>バグ数</t>
    <rPh sb="2" eb="3">
      <t>スウ</t>
    </rPh>
    <phoneticPr fontId="3"/>
  </si>
  <si>
    <t>発生率</t>
    <rPh sb="0" eb="2">
      <t>ハッセイ</t>
    </rPh>
    <rPh sb="2" eb="3">
      <t>リツ</t>
    </rPh>
    <phoneticPr fontId="3"/>
  </si>
  <si>
    <t>入力値</t>
    <rPh sb="0" eb="3">
      <t>ニュウリョクチ</t>
    </rPh>
    <phoneticPr fontId="3"/>
  </si>
  <si>
    <t>品質チェックシート</t>
    <rPh sb="0" eb="2">
      <t>ヒンシツ</t>
    </rPh>
    <phoneticPr fontId="3"/>
  </si>
  <si>
    <t>・・・イベント動作確認</t>
    <rPh sb="7" eb="9">
      <t>ドウサ</t>
    </rPh>
    <rPh sb="9" eb="11">
      <t>カクニン</t>
    </rPh>
    <phoneticPr fontId="3"/>
  </si>
  <si>
    <t>この様な場合、事前に手順が行われていることとし、判定はOKとする。</t>
    <rPh sb="2" eb="3">
      <t>ヨウ</t>
    </rPh>
    <rPh sb="4" eb="6">
      <t>バアイ</t>
    </rPh>
    <rPh sb="7" eb="9">
      <t>ジゼン</t>
    </rPh>
    <rPh sb="10" eb="12">
      <t>テジュン</t>
    </rPh>
    <rPh sb="13" eb="14">
      <t>オコナ</t>
    </rPh>
    <rPh sb="24" eb="26">
      <t>ハンテイ</t>
    </rPh>
    <phoneticPr fontId="3"/>
  </si>
  <si>
    <t>契約先名</t>
    <rPh sb="0" eb="3">
      <t>ケイヤクサキ</t>
    </rPh>
    <rPh sb="3" eb="4">
      <t>メイ</t>
    </rPh>
    <phoneticPr fontId="3"/>
  </si>
  <si>
    <t>需要先名</t>
    <rPh sb="0" eb="2">
      <t>ジュヨウ</t>
    </rPh>
    <rPh sb="2" eb="3">
      <t>サキ</t>
    </rPh>
    <rPh sb="3" eb="4">
      <t>メイ</t>
    </rPh>
    <phoneticPr fontId="3"/>
  </si>
  <si>
    <t>照合№</t>
    <rPh sb="0" eb="2">
      <t>ショウゴウ</t>
    </rPh>
    <phoneticPr fontId="3"/>
  </si>
  <si>
    <t>項目数</t>
    <rPh sb="0" eb="3">
      <t>コウモクスウ</t>
    </rPh>
    <phoneticPr fontId="3"/>
  </si>
  <si>
    <t>実施者：</t>
    <rPh sb="0" eb="2">
      <t>ジッシ</t>
    </rPh>
    <rPh sb="2" eb="3">
      <t>シャ</t>
    </rPh>
    <phoneticPr fontId="3"/>
  </si>
  <si>
    <t>実施日：</t>
    <rPh sb="0" eb="3">
      <t>ジッシビ</t>
    </rPh>
    <phoneticPr fontId="3"/>
  </si>
  <si>
    <t>本構成は、社内検査に使用する環境を記述したものです。</t>
    <rPh sb="5" eb="7">
      <t>シャナイ</t>
    </rPh>
    <phoneticPr fontId="3"/>
  </si>
  <si>
    <t>なお、納入品を極力接続し確認を行います。</t>
  </si>
  <si>
    <t>【テスト環境と実システム環境の違い】</t>
    <phoneticPr fontId="3"/>
  </si>
  <si>
    <t>１．　</t>
    <phoneticPr fontId="3"/>
  </si>
  <si>
    <t>２．　</t>
    <phoneticPr fontId="3"/>
  </si>
  <si>
    <t>３．　</t>
    <phoneticPr fontId="3"/>
  </si>
  <si>
    <t>４．　</t>
    <phoneticPr fontId="3"/>
  </si>
  <si>
    <t>５．　</t>
    <phoneticPr fontId="3"/>
  </si>
  <si>
    <t>検査
No.</t>
    <rPh sb="0" eb="2">
      <t>ケンサ</t>
    </rPh>
    <phoneticPr fontId="3"/>
  </si>
  <si>
    <t>シートNo.</t>
    <phoneticPr fontId="3"/>
  </si>
  <si>
    <t>確認対象</t>
    <rPh sb="0" eb="2">
      <t>カクニン</t>
    </rPh>
    <rPh sb="2" eb="4">
      <t>タイショウ</t>
    </rPh>
    <phoneticPr fontId="3"/>
  </si>
  <si>
    <t>検査数</t>
    <rPh sb="0" eb="2">
      <t>ケンサ</t>
    </rPh>
    <rPh sb="2" eb="3">
      <t>スウ</t>
    </rPh>
    <phoneticPr fontId="3"/>
  </si>
  <si>
    <t>検査率</t>
    <rPh sb="0" eb="2">
      <t>ケンサ</t>
    </rPh>
    <rPh sb="2" eb="3">
      <t>リツ</t>
    </rPh>
    <phoneticPr fontId="3"/>
  </si>
  <si>
    <t>4)</t>
    <phoneticPr fontId="3"/>
  </si>
  <si>
    <t>5)</t>
    <phoneticPr fontId="3"/>
  </si>
  <si>
    <t>6)</t>
    <phoneticPr fontId="3"/>
  </si>
  <si>
    <t>対応日</t>
    <rPh sb="0" eb="2">
      <t>タイオウ</t>
    </rPh>
    <rPh sb="2" eb="3">
      <t>ヒ</t>
    </rPh>
    <phoneticPr fontId="3"/>
  </si>
  <si>
    <t>照合No.</t>
    <phoneticPr fontId="3"/>
  </si>
  <si>
    <t>第一エンジニアリング本部</t>
    <rPh sb="0" eb="2">
      <t>ダイイチ</t>
    </rPh>
    <rPh sb="10" eb="12">
      <t>ホンブ</t>
    </rPh>
    <phoneticPr fontId="3"/>
  </si>
  <si>
    <t>改訂履歴</t>
  </si>
  <si>
    <t>Rev.No.</t>
    <phoneticPr fontId="3"/>
  </si>
  <si>
    <t>改訂者</t>
    <rPh sb="2" eb="3">
      <t>シャ</t>
    </rPh>
    <phoneticPr fontId="3"/>
  </si>
  <si>
    <t>改訂箇所</t>
    <rPh sb="2" eb="4">
      <t>カショ</t>
    </rPh>
    <phoneticPr fontId="3"/>
  </si>
  <si>
    <t>改訂概要</t>
    <rPh sb="2" eb="4">
      <t>ガイヨウ</t>
    </rPh>
    <phoneticPr fontId="3"/>
  </si>
  <si>
    <t>改訂理由</t>
    <rPh sb="2" eb="4">
      <t>リユウ</t>
    </rPh>
    <phoneticPr fontId="3"/>
  </si>
  <si>
    <t>照合No.</t>
    <rPh sb="0" eb="2">
      <t>ショウゴウ</t>
    </rPh>
    <phoneticPr fontId="3"/>
  </si>
  <si>
    <t>例）</t>
    <rPh sb="0" eb="1">
      <t>レイ</t>
    </rPh>
    <phoneticPr fontId="3"/>
  </si>
  <si>
    <t>履歴</t>
    <rPh sb="0" eb="2">
      <t>リレキ</t>
    </rPh>
    <phoneticPr fontId="3"/>
  </si>
  <si>
    <t>マネジメント担当</t>
    <rPh sb="6" eb="8">
      <t>タントウ</t>
    </rPh>
    <phoneticPr fontId="3"/>
  </si>
  <si>
    <t>・・・しきい値等の入力チェック</t>
    <rPh sb="6" eb="7">
      <t>チ</t>
    </rPh>
    <rPh sb="7" eb="8">
      <t>トウ</t>
    </rPh>
    <rPh sb="9" eb="11">
      <t>ニュウリョク</t>
    </rPh>
    <phoneticPr fontId="3"/>
  </si>
  <si>
    <t>・・・画面等への出力チェック</t>
    <rPh sb="3" eb="5">
      <t>ガメン</t>
    </rPh>
    <rPh sb="5" eb="6">
      <t>ナド</t>
    </rPh>
    <rPh sb="8" eb="10">
      <t>シュツリョク</t>
    </rPh>
    <phoneticPr fontId="3"/>
  </si>
  <si>
    <t>対応期限</t>
    <rPh sb="0" eb="2">
      <t>タイオウ</t>
    </rPh>
    <rPh sb="2" eb="4">
      <t>キゲン</t>
    </rPh>
    <phoneticPr fontId="3"/>
  </si>
  <si>
    <t>検査スケジュール</t>
    <rPh sb="0" eb="2">
      <t>ケンサ</t>
    </rPh>
    <phoneticPr fontId="3"/>
  </si>
  <si>
    <t>mm/dd (月)</t>
    <rPh sb="7" eb="8">
      <t>ゲツ</t>
    </rPh>
    <phoneticPr fontId="3"/>
  </si>
  <si>
    <t>mm/dd (火)</t>
    <rPh sb="7" eb="8">
      <t>ヒ</t>
    </rPh>
    <phoneticPr fontId="3"/>
  </si>
  <si>
    <t>mm/dd (水)</t>
    <rPh sb="7" eb="8">
      <t>スイ</t>
    </rPh>
    <phoneticPr fontId="3"/>
  </si>
  <si>
    <t>昼食</t>
    <rPh sb="0" eb="2">
      <t>チュウショク</t>
    </rPh>
    <phoneticPr fontId="3"/>
  </si>
  <si>
    <t>入力</t>
    <rPh sb="0" eb="2">
      <t>ニュウリョク</t>
    </rPh>
    <phoneticPr fontId="3"/>
  </si>
  <si>
    <t>出力</t>
    <rPh sb="0" eb="2">
      <t>シュツリョク</t>
    </rPh>
    <phoneticPr fontId="3"/>
  </si>
  <si>
    <t>BL</t>
    <phoneticPr fontId="3"/>
  </si>
  <si>
    <t>DB</t>
    <phoneticPr fontId="3"/>
  </si>
  <si>
    <t>EV</t>
    <phoneticPr fontId="3"/>
  </si>
  <si>
    <t>HW</t>
    <phoneticPr fontId="3"/>
  </si>
  <si>
    <t>分類</t>
    <rPh sb="0" eb="2">
      <t>ブンルイ</t>
    </rPh>
    <phoneticPr fontId="3"/>
  </si>
  <si>
    <t>再判定</t>
    <rPh sb="0" eb="3">
      <t>サイハンテイ</t>
    </rPh>
    <phoneticPr fontId="3"/>
  </si>
  <si>
    <t>分類</t>
    <rPh sb="0" eb="2">
      <t>ブンルイ</t>
    </rPh>
    <phoneticPr fontId="3"/>
  </si>
  <si>
    <t>7.検査手順</t>
  </si>
  <si>
    <t>8.検査記録</t>
  </si>
  <si>
    <t>初回</t>
    <rPh sb="0" eb="2">
      <t>ショカイ</t>
    </rPh>
    <phoneticPr fontId="3"/>
  </si>
  <si>
    <t>不具合</t>
    <rPh sb="0" eb="3">
      <t>フグアイ</t>
    </rPh>
    <phoneticPr fontId="3"/>
  </si>
  <si>
    <t>仕様</t>
    <rPh sb="0" eb="2">
      <t>シヨウ</t>
    </rPh>
    <phoneticPr fontId="3"/>
  </si>
  <si>
    <t>コメント</t>
    <phoneticPr fontId="3"/>
  </si>
  <si>
    <t>分類リスト</t>
    <rPh sb="0" eb="2">
      <t>ブンルイ</t>
    </rPh>
    <phoneticPr fontId="3"/>
  </si>
  <si>
    <t>記号</t>
    <rPh sb="0" eb="2">
      <t>キゴウ</t>
    </rPh>
    <phoneticPr fontId="3"/>
  </si>
  <si>
    <t>ビジネスロジック</t>
    <phoneticPr fontId="3"/>
  </si>
  <si>
    <t>データベース</t>
    <phoneticPr fontId="3"/>
  </si>
  <si>
    <t>ハードウェア</t>
    <phoneticPr fontId="3"/>
  </si>
  <si>
    <t>出力</t>
    <rPh sb="0" eb="2">
      <t>シュツリョク</t>
    </rPh>
    <phoneticPr fontId="3"/>
  </si>
  <si>
    <t>入力</t>
    <rPh sb="0" eb="2">
      <t>ニュウリョク</t>
    </rPh>
    <phoneticPr fontId="3"/>
  </si>
  <si>
    <t>イベント</t>
    <phoneticPr fontId="3"/>
  </si>
  <si>
    <t>・・・内部計算、内部処理</t>
    <rPh sb="3" eb="5">
      <t>ナイブ</t>
    </rPh>
    <rPh sb="5" eb="7">
      <t>ケイサン</t>
    </rPh>
    <rPh sb="8" eb="10">
      <t>ナイブ</t>
    </rPh>
    <rPh sb="10" eb="12">
      <t>ショリ</t>
    </rPh>
    <phoneticPr fontId="3"/>
  </si>
  <si>
    <t>・・・SQL server、ORACLE等</t>
    <rPh sb="20" eb="21">
      <t>トウ</t>
    </rPh>
    <phoneticPr fontId="3"/>
  </si>
  <si>
    <t>・・・障害対策、パフォーマンス確認等</t>
    <rPh sb="17" eb="18">
      <t>トウ</t>
    </rPh>
    <phoneticPr fontId="3"/>
  </si>
  <si>
    <t>適時追加してください。</t>
    <rPh sb="0" eb="2">
      <t>テキジ</t>
    </rPh>
    <rPh sb="2" eb="4">
      <t>ツイカ</t>
    </rPh>
    <phoneticPr fontId="3"/>
  </si>
  <si>
    <t>シート名</t>
    <rPh sb="3" eb="4">
      <t>メイ</t>
    </rPh>
    <phoneticPr fontId="3"/>
  </si>
  <si>
    <t>総ページ</t>
    <rPh sb="0" eb="1">
      <t>ソウ</t>
    </rPh>
    <phoneticPr fontId="3"/>
  </si>
  <si>
    <t>イベント</t>
  </si>
  <si>
    <t>ビジネスロジック</t>
  </si>
  <si>
    <t>データベース</t>
  </si>
  <si>
    <t>ハードウェア</t>
  </si>
  <si>
    <t>記号</t>
    <rPh sb="0" eb="2">
      <t>キゴウ</t>
    </rPh>
    <phoneticPr fontId="3"/>
  </si>
  <si>
    <t>EV</t>
  </si>
  <si>
    <t>BL</t>
  </si>
  <si>
    <t>DB</t>
  </si>
  <si>
    <t>HW</t>
  </si>
  <si>
    <t>しきい値等の入力チェック</t>
    <rPh sb="3" eb="4">
      <t>チ</t>
    </rPh>
    <rPh sb="4" eb="5">
      <t>トウ</t>
    </rPh>
    <rPh sb="6" eb="8">
      <t>ニュウリョク</t>
    </rPh>
    <phoneticPr fontId="3"/>
  </si>
  <si>
    <t>画面等への出力チェック</t>
    <rPh sb="0" eb="2">
      <t>ガメン</t>
    </rPh>
    <rPh sb="2" eb="3">
      <t>ナド</t>
    </rPh>
    <rPh sb="5" eb="7">
      <t>シュツリョク</t>
    </rPh>
    <phoneticPr fontId="3"/>
  </si>
  <si>
    <t>イベント動作確認</t>
    <rPh sb="4" eb="6">
      <t>ドウサ</t>
    </rPh>
    <rPh sb="6" eb="8">
      <t>カクニン</t>
    </rPh>
    <phoneticPr fontId="3"/>
  </si>
  <si>
    <t>内部計算、内部処理</t>
    <rPh sb="0" eb="2">
      <t>ナイブ</t>
    </rPh>
    <rPh sb="2" eb="4">
      <t>ケイサン</t>
    </rPh>
    <rPh sb="5" eb="7">
      <t>ナイブ</t>
    </rPh>
    <rPh sb="7" eb="9">
      <t>ショリ</t>
    </rPh>
    <phoneticPr fontId="3"/>
  </si>
  <si>
    <t>SQL server、ORACLE等</t>
    <rPh sb="17" eb="18">
      <t>トウ</t>
    </rPh>
    <phoneticPr fontId="3"/>
  </si>
  <si>
    <t>障害対策、パフォーマンス確認等</t>
    <rPh sb="14" eb="15">
      <t>トウ</t>
    </rPh>
    <phoneticPr fontId="3"/>
  </si>
  <si>
    <t>説明</t>
    <rPh sb="0" eb="2">
      <t>セツメイ</t>
    </rPh>
    <phoneticPr fontId="3"/>
  </si>
  <si>
    <t>判定基準</t>
    <rPh sb="0" eb="2">
      <t>ハンテイ</t>
    </rPh>
    <rPh sb="2" eb="4">
      <t>キジュン</t>
    </rPh>
    <phoneticPr fontId="3"/>
  </si>
  <si>
    <t>検査分類</t>
    <rPh sb="0" eb="2">
      <t>ケンサ</t>
    </rPh>
    <rPh sb="2" eb="4">
      <t>ブンルイ</t>
    </rPh>
    <phoneticPr fontId="3"/>
  </si>
  <si>
    <t>検査分類</t>
    <rPh sb="0" eb="2">
      <t>ケンサ</t>
    </rPh>
    <rPh sb="2" eb="4">
      <t>ブンルイ</t>
    </rPh>
    <phoneticPr fontId="3"/>
  </si>
  <si>
    <t>検査毎に、下記から最も近い検査分類を選択する。</t>
    <rPh sb="0" eb="2">
      <t>ケンサ</t>
    </rPh>
    <rPh sb="2" eb="3">
      <t>ゴト</t>
    </rPh>
    <rPh sb="5" eb="7">
      <t>カキ</t>
    </rPh>
    <rPh sb="9" eb="10">
      <t>モット</t>
    </rPh>
    <rPh sb="11" eb="12">
      <t>チカ</t>
    </rPh>
    <rPh sb="13" eb="15">
      <t>ケンサ</t>
    </rPh>
    <rPh sb="15" eb="17">
      <t>ブンルイ</t>
    </rPh>
    <rPh sb="18" eb="20">
      <t>センタク</t>
    </rPh>
    <phoneticPr fontId="3"/>
  </si>
  <si>
    <t>6.検査基準</t>
  </si>
  <si>
    <t>3)</t>
    <phoneticPr fontId="3"/>
  </si>
  <si>
    <t>担当者</t>
    <rPh sb="0" eb="3">
      <t>タントウシャ</t>
    </rPh>
    <phoneticPr fontId="3"/>
  </si>
  <si>
    <t>KENSA</t>
    <phoneticPr fontId="3"/>
  </si>
  <si>
    <t>※このシートは印刷されません ver1.2</t>
    <rPh sb="7" eb="9">
      <t>インサツ</t>
    </rPh>
    <phoneticPr fontId="3"/>
  </si>
  <si>
    <t>7-1.○○○</t>
  </si>
  <si>
    <t>7-1-1.テスト(1)</t>
  </si>
  <si>
    <t>協立電機株式会社 R&amp;Dセンター１Ｆ</t>
    <rPh sb="0" eb="4">
      <t>キョウリツデンキ</t>
    </rPh>
    <rPh sb="4" eb="8">
      <t>カブシキガイシャ</t>
    </rPh>
    <phoneticPr fontId="3"/>
  </si>
  <si>
    <t>-</t>
    <phoneticPr fontId="3"/>
  </si>
  <si>
    <t>-</t>
    <phoneticPr fontId="3"/>
  </si>
  <si>
    <t>1)</t>
    <phoneticPr fontId="3"/>
  </si>
  <si>
    <t>3)</t>
    <phoneticPr fontId="3"/>
  </si>
  <si>
    <t>09:00～17:00</t>
    <phoneticPr fontId="3"/>
  </si>
  <si>
    <t>1)</t>
    <phoneticPr fontId="3"/>
  </si>
  <si>
    <t>2)</t>
    <phoneticPr fontId="3"/>
  </si>
  <si>
    <t>同上</t>
  </si>
  <si>
    <t>同上</t>
    <phoneticPr fontId="3"/>
  </si>
  <si>
    <t>エレベーター：1F</t>
    <phoneticPr fontId="3"/>
  </si>
  <si>
    <t>エレベーター：２F</t>
    <phoneticPr fontId="3"/>
  </si>
  <si>
    <t>エレベーター：３F</t>
    <phoneticPr fontId="3"/>
  </si>
  <si>
    <t>1ボタン(1F)を押下する</t>
    <rPh sb="9" eb="11">
      <t>オウカ</t>
    </rPh>
    <phoneticPr fontId="3"/>
  </si>
  <si>
    <t>エレベーター：２F
押されているボタン：
3F or 3F↓</t>
    <phoneticPr fontId="3"/>
  </si>
  <si>
    <t>エレベーター：3F
押されているボタン：
2F or 2F↓</t>
    <phoneticPr fontId="3"/>
  </si>
  <si>
    <t>エレベーター：3F
押されているボタン：
2F↑</t>
    <phoneticPr fontId="3"/>
  </si>
  <si>
    <t>エレベーター：1F
押されているボタン：
3F or 3F↓</t>
    <phoneticPr fontId="3"/>
  </si>
  <si>
    <t>2ボタン(2F)を押下する</t>
    <rPh sb="5" eb="7">
      <t>オウカ</t>
    </rPh>
    <phoneticPr fontId="3"/>
  </si>
  <si>
    <t>エレベーター：1F
押されているボタン：
2F↓ and　2F↑</t>
    <phoneticPr fontId="3"/>
  </si>
  <si>
    <t>エレベーター：3F
押されているボタン：
1F or 1F↑</t>
    <phoneticPr fontId="3"/>
  </si>
  <si>
    <t>3ボタン(3F)を押下する</t>
    <phoneticPr fontId="3"/>
  </si>
  <si>
    <t>エレベーター：1F
押されているボタン：
2F or 2F↑</t>
    <phoneticPr fontId="3"/>
  </si>
  <si>
    <t>エレベーター：1F
押されているボタン：
2F↓</t>
    <phoneticPr fontId="3"/>
  </si>
  <si>
    <t>エレベーター：2F
押されているボタン：
1F or 1F↑</t>
    <phoneticPr fontId="3"/>
  </si>
  <si>
    <t>1階の上りボタン(1F↑)を押下する</t>
    <rPh sb="1" eb="2">
      <t>カイ</t>
    </rPh>
    <rPh sb="3" eb="4">
      <t>アガ</t>
    </rPh>
    <rPh sb="14" eb="16">
      <t>オウカ</t>
    </rPh>
    <phoneticPr fontId="3"/>
  </si>
  <si>
    <t>エレベーター：2F
押されているボタン：
3F or 3F↓</t>
    <phoneticPr fontId="3"/>
  </si>
  <si>
    <t>2階の上りボタン(2F↑)を押下する</t>
    <rPh sb="1" eb="2">
      <t>カイ</t>
    </rPh>
    <rPh sb="3" eb="4">
      <t>アガ</t>
    </rPh>
    <rPh sb="14" eb="16">
      <t>オウカ</t>
    </rPh>
    <phoneticPr fontId="3"/>
  </si>
  <si>
    <t>2階の下りボタン(2F↓)を押下する</t>
    <rPh sb="1" eb="2">
      <t>カイ</t>
    </rPh>
    <rPh sb="3" eb="4">
      <t>クダ</t>
    </rPh>
    <rPh sb="14" eb="16">
      <t>オウカ</t>
    </rPh>
    <phoneticPr fontId="3"/>
  </si>
  <si>
    <t>エレベーターのプログラムが実際のエレベーターと全く同じ動きをすることを設計書で確認します。</t>
    <phoneticPr fontId="3"/>
  </si>
  <si>
    <t>3階の下りボタン(３F↓)を押下する</t>
    <rPh sb="1" eb="2">
      <t>カイ</t>
    </rPh>
    <rPh sb="3" eb="4">
      <t>クダ</t>
    </rPh>
    <rPh sb="14" eb="16">
      <t>オウカ</t>
    </rPh>
    <phoneticPr fontId="3"/>
  </si>
  <si>
    <t>１ボタンランプが点灯し、数秒後に消灯する</t>
    <rPh sb="8" eb="10">
      <t>テントウ</t>
    </rPh>
    <rPh sb="12" eb="15">
      <t>スウビョウゴ</t>
    </rPh>
    <rPh sb="16" eb="18">
      <t>ショウトウ</t>
    </rPh>
    <phoneticPr fontId="3"/>
  </si>
  <si>
    <t>・１ボタンランプが点灯する
・エレベーターが1階へ移動する
・１ボタンランプが消灯する</t>
    <rPh sb="9" eb="11">
      <t>テントウ</t>
    </rPh>
    <rPh sb="39" eb="41">
      <t>ショウトウ</t>
    </rPh>
    <phoneticPr fontId="3"/>
  </si>
  <si>
    <t>２ボタンランプが点灯し、数秒後に消灯する</t>
    <rPh sb="8" eb="10">
      <t>テントウ</t>
    </rPh>
    <rPh sb="12" eb="15">
      <t>スウビョウゴ</t>
    </rPh>
    <rPh sb="16" eb="18">
      <t>ショウトウ</t>
    </rPh>
    <phoneticPr fontId="3"/>
  </si>
  <si>
    <t>エレベーター：1F
押されているボタン：
[3F or 3F↓ , 2F↓]</t>
    <phoneticPr fontId="3"/>
  </si>
  <si>
    <t>エレベーター：1F
押されているボタン：
[3F or 3F↓,2F↑]</t>
    <phoneticPr fontId="3"/>
  </si>
  <si>
    <t>・３ボタンランプが点灯する
・エレベーターが３階へ移動する
・３ボタンランプが消灯する</t>
    <rPh sb="9" eb="11">
      <t>テントウ</t>
    </rPh>
    <rPh sb="39" eb="41">
      <t>ショウトウ</t>
    </rPh>
    <phoneticPr fontId="3"/>
  </si>
  <si>
    <t>３ボタンランプが点灯し、数秒後に消灯する</t>
    <phoneticPr fontId="3"/>
  </si>
  <si>
    <t>2F↓ボタンランプが点灯し、数秒後に消灯する</t>
    <rPh sb="10" eb="12">
      <t>テントウ</t>
    </rPh>
    <rPh sb="14" eb="17">
      <t>スウビョウゴ</t>
    </rPh>
    <rPh sb="18" eb="20">
      <t>ショウトウ</t>
    </rPh>
    <phoneticPr fontId="3"/>
  </si>
  <si>
    <t>・2F↑ボタンランプが点灯する
・エレベーターが２階へ移動する
・2F↑ボタンランプが消灯する</t>
    <rPh sb="11" eb="13">
      <t>テントウ</t>
    </rPh>
    <rPh sb="43" eb="45">
      <t>ショウトウ</t>
    </rPh>
    <phoneticPr fontId="3"/>
  </si>
  <si>
    <t>2F↑ボタンランプが点灯し、数秒後に消灯する</t>
    <rPh sb="10" eb="12">
      <t>テントウ</t>
    </rPh>
    <rPh sb="14" eb="17">
      <t>スウビョウゴ</t>
    </rPh>
    <rPh sb="18" eb="20">
      <t>ショウトウ</t>
    </rPh>
    <phoneticPr fontId="3"/>
  </si>
  <si>
    <t>1F↑ボタンランプが点灯し、数秒後に消灯する</t>
    <rPh sb="10" eb="12">
      <t>テントウ</t>
    </rPh>
    <rPh sb="14" eb="17">
      <t>スウビョウゴ</t>
    </rPh>
    <rPh sb="18" eb="20">
      <t>ショウトウ</t>
    </rPh>
    <phoneticPr fontId="3"/>
  </si>
  <si>
    <t>・1F↑ボタンランプが点灯する
・エレベーターが1階へ移動する
・1F↑ボタンランプが消灯する</t>
    <rPh sb="11" eb="13">
      <t>テントウ</t>
    </rPh>
    <rPh sb="43" eb="45">
      <t>ショウトウ</t>
    </rPh>
    <phoneticPr fontId="3"/>
  </si>
  <si>
    <t>・2F↓ボタンランプが点灯する
・エレベーターが２階へ移動する
・2F↓ボタンランプが消灯する</t>
    <rPh sb="11" eb="13">
      <t>テントウ</t>
    </rPh>
    <rPh sb="43" eb="45">
      <t>ショウトウ</t>
    </rPh>
    <phoneticPr fontId="3"/>
  </si>
  <si>
    <t>３F↓ボタンランプが点灯し、数秒後に消灯する</t>
    <rPh sb="10" eb="12">
      <t>テントウ</t>
    </rPh>
    <rPh sb="14" eb="17">
      <t>スウビョウゴ</t>
    </rPh>
    <rPh sb="18" eb="20">
      <t>ショウトウ</t>
    </rPh>
    <phoneticPr fontId="3"/>
  </si>
  <si>
    <t>・３F↓ボタンランプが点灯する
・エレベーターが３階へ移動する
・３F↓ボタンランプが消灯する</t>
    <rPh sb="11" eb="13">
      <t>テントウ</t>
    </rPh>
    <rPh sb="43" eb="45">
      <t>ショウトウ</t>
    </rPh>
    <phoneticPr fontId="3"/>
  </si>
  <si>
    <t>・２ボタンランプが点灯する
・エレベーターが２階へ移動する
・２ボタンランプが消灯する</t>
    <rPh sb="9" eb="11">
      <t>テントウ</t>
    </rPh>
    <rPh sb="39" eb="41">
      <t>ショウトウ</t>
    </rPh>
    <phoneticPr fontId="3"/>
  </si>
  <si>
    <t>1ボタン(1F)</t>
    <phoneticPr fontId="3"/>
  </si>
  <si>
    <t>2ボタン(2F)</t>
    <phoneticPr fontId="3"/>
  </si>
  <si>
    <t>3ボタン(3F)</t>
  </si>
  <si>
    <t>3ボタン(3F)</t>
    <phoneticPr fontId="3"/>
  </si>
  <si>
    <t>1階の上りボタン(1F↑)</t>
  </si>
  <si>
    <t>1階の上りボタン(1F↑)</t>
    <phoneticPr fontId="3"/>
  </si>
  <si>
    <t>2階の上りボタン(2F↑)</t>
  </si>
  <si>
    <t>2階の上りボタン(2F↑)</t>
    <phoneticPr fontId="3"/>
  </si>
  <si>
    <t>2階の下りボタン(2F↓)</t>
  </si>
  <si>
    <t>2階の下りボタン(2F↓)</t>
    <phoneticPr fontId="3"/>
  </si>
  <si>
    <t>3階の下りボタン(３F↓)</t>
  </si>
  <si>
    <t>3階の下りボタン(３F↓)</t>
    <phoneticPr fontId="3"/>
  </si>
  <si>
    <t>・１ボタンランプが点灯する
・エレベーターが３階へ移動する
・3F or 3F↓ランプが消灯する
・エレベーターが1階へ移動する
・１ボタンランプが消灯する</t>
    <rPh sb="74" eb="76">
      <t>ショウトウ</t>
    </rPh>
    <phoneticPr fontId="3"/>
  </si>
  <si>
    <t>・１ボタンランプが点灯する
・エレベーターが２階へ移動する
・２F or ２F↓ランプが消灯する
・エレベーターが1階へ移動する
・１ボタンランプが消灯する</t>
    <rPh sb="74" eb="76">
      <t>ショウトウ</t>
    </rPh>
    <phoneticPr fontId="3"/>
  </si>
  <si>
    <t xml:space="preserve">・１ボタンランプが点灯する
・エレベーターが1階へ移動する
・１ボタンランプが消灯する
・エレベーターが２階へ移動する
・2F↑ランプが消灯する
</t>
    <phoneticPr fontId="3"/>
  </si>
  <si>
    <t>・２ボタンランプが点灯する
・エレベーターが２階へ移動する
・２ボタンランプが消灯する
・エレベーターが３階へ移動する
・３F or ３F↓ランプが消灯する</t>
    <phoneticPr fontId="3"/>
  </si>
  <si>
    <t>・２ボタンランプが点灯する
・エレベーターが２階へ移動する
・２ボタンランプが消灯する
・エレベーターが３階へ移動する
・３F or ３F↓ランプが消灯する
・エレベーターが２階へ移動する
・2F↓ボタンランプが消灯する</t>
    <phoneticPr fontId="3"/>
  </si>
  <si>
    <t>・２ボタンランプが点灯する
・エレベーターが２階へ移動する
・２と2F↑ボタンランプが消灯する
・エレベーターが３階へ移動する
・３F or ３F↓ランプが消灯する</t>
    <phoneticPr fontId="3"/>
  </si>
  <si>
    <t xml:space="preserve">・３ボタンランプが点灯する
・エレベーターが１階へ移動する
・1F or 1F↑ボタンランプが消灯する
・エレベーターが３階へ移動する
・３ボタンランプが消灯する
</t>
    <phoneticPr fontId="3"/>
  </si>
  <si>
    <t>・1F↑ボタンランプが点灯する
・エレベーターが３階へ移動する
・３F or ３F↑ボタンランプが消灯する
・エレベーターが１階へ移動する
・1F↑ボタンランプが消灯する</t>
    <phoneticPr fontId="3"/>
  </si>
  <si>
    <t>・1F↑ボタンランプが点灯する
・エレベーターが２階へ移動する
・２F or 2F↓ボタンランプが消灯する
・エレベーターが１階へ移動する
・1F↑ボタンランプが消灯する</t>
    <phoneticPr fontId="3"/>
  </si>
  <si>
    <t>・2F↑ボタンランプが点灯する
・エレベーターが１階へ移動する
・1F or 1F↑ボタンランプが消灯する
・エレベーターが２階へ移動する
・2F↑ボタンランプが消灯する</t>
    <phoneticPr fontId="3"/>
  </si>
  <si>
    <t>・３F↓ボタンランプが点灯する
・エレベーターが３階へ移動する
・３F↓ボタンランプが消灯する
・エレベーターが２階へ移動する
・2F↓ボタンランプが消灯する</t>
    <phoneticPr fontId="3"/>
  </si>
  <si>
    <t>・３F↓ボタンランプが点灯する
・エレベーターが１階へ移動する
・1F or 1F↑ボタンランプが消灯する
・エレベーターが３階へ移動する
・３F↓ボタンランプが消灯する</t>
    <phoneticPr fontId="3"/>
  </si>
  <si>
    <t>・２ボタンランプが点灯する
・エレベーターが２階へ移動する
・２と2F↑ボタンランプが消灯する
・2F↓ボタンランプが消灯する</t>
    <phoneticPr fontId="3"/>
  </si>
  <si>
    <t>・３ボタンランプが点灯する
・エレベーターが２階へ移動する
・2F or 2F↑ボタンランプが消灯する
・エレベーターが３階へ移動する
・３ボタンランプが消灯する</t>
  </si>
  <si>
    <t>・2F↑ボタンランプが点灯する
・エレベーターが２階へ移動する
・2F↑ボタンランプが消灯する
・エレベーターが３階へ移動する
・3F or 3F↓ボタンランプが消灯する</t>
    <phoneticPr fontId="3"/>
  </si>
  <si>
    <t>・３F↓ボタンランプが点灯する
・エレベーターが２階へ移動する
・2F or 2F↑ボタンランプが消灯する
・エレベーターが３階へ移動する
・３F↓ボタンランプが消灯する</t>
    <phoneticPr fontId="3"/>
  </si>
  <si>
    <t xml:space="preserve">・３ボタンランプが点灯する
・エレベーターが３階へ移動する
・３ボタンランプが消灯する
・エレベーターが２階へ移動する
・2F↓ボタンランプが消灯する
</t>
    <phoneticPr fontId="3"/>
  </si>
  <si>
    <t xml:space="preserve">・１↑ボタンランプが点灯する
・エレベーターが１階へ移動する
・１↑ボタンランプが消灯する
・エレベーターが２階へ移動する
・2F↑ボタンランプが消灯する
</t>
    <phoneticPr fontId="3"/>
  </si>
  <si>
    <t>・2F↓ボタンランプが点灯する
・エレベーターが３階へ移動する
・3F or 3F↓ボタンランプが消灯する
・エレベーターが２階へ移動する
・2F↓ボタンランプが消灯する</t>
    <phoneticPr fontId="3"/>
  </si>
  <si>
    <t>・2F↓ボタンランプが点灯する
・エレベーターが２階へ移動する
・2F↓ボタンランプが消灯する
・エレベーターが１階へ移動する
・1F or 1F↑ボタンランプが消灯する</t>
    <phoneticPr fontId="3"/>
  </si>
  <si>
    <t>・２ボタンランプが点灯する
・エレベーターが２階へ移動する
・２ボタンランプが消灯する
・エレベーターが１階へ移動する
・1F or 1F↑ランプが消灯する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</si>
</sst>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¥&quot;#,##0;[Red]&quot;¥&quot;\-#,##0"/>
    <numFmt numFmtId="177" formatCode="yyyy/mm/dd"/>
    <numFmt numFmtId="178" formatCode="yy/mm/dd"/>
    <numFmt numFmtId="179" formatCode="00.00"/>
    <numFmt numFmtId="180" formatCode="0_ "/>
    <numFmt numFmtId="181" formatCode="&quot;Rev. &quot;00.00"/>
    <numFmt numFmtId="182" formatCode="yyyy&quot;年&quot;mm&quot;月&quot;dd&quot;日&quot;"/>
  </numFmts>
  <fonts count="57" x14ac:knownFonts="1">
    <font>
      <sz val="11"/>
      <name val="ＭＳ Ｐゴシック"/>
      <family val="3"/>
      <charset val="128"/>
      <scheme val="maj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name val="ＭＳ Ｐ明朝"/>
      <family val="1"/>
      <charset val="128"/>
    </font>
    <font>
      <sz val="10.5"/>
      <name val="ＭＳ Ｐ明朝"/>
      <family val="1"/>
      <charset val="128"/>
    </font>
    <font>
      <sz val="14"/>
      <name val="ＭＳ Ｐ明朝"/>
      <family val="1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b/>
      <sz val="16"/>
      <name val="ＭＳ Ｐ明朝"/>
      <family val="1"/>
      <charset val="128"/>
    </font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Ｐ明朝"/>
      <family val="1"/>
      <charset val="128"/>
    </font>
    <font>
      <b/>
      <sz val="24"/>
      <name val="ＭＳ Ｐ明朝"/>
      <family val="1"/>
      <charset val="128"/>
    </font>
    <font>
      <b/>
      <sz val="10"/>
      <color indexed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color rgb="FF0070C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10"/>
      <color rgb="FF000000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10"/>
      <color theme="10"/>
      <name val="ＭＳ Ｐゴシック"/>
      <family val="3"/>
      <charset val="128"/>
    </font>
    <font>
      <b/>
      <sz val="10"/>
      <name val="ＭＳ Ｐゴシック"/>
      <family val="3"/>
      <charset val="128"/>
      <scheme val="major"/>
    </font>
    <font>
      <b/>
      <i/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2"/>
      <color theme="1"/>
      <name val="ＭＳ Ｐ明朝"/>
      <family val="1"/>
      <charset val="128"/>
    </font>
    <font>
      <sz val="12"/>
      <color theme="0"/>
      <name val="ＭＳ Ｐ明朝"/>
      <family val="1"/>
      <charset val="128"/>
    </font>
    <font>
      <b/>
      <sz val="9"/>
      <color indexed="8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8"/>
      <color rgb="FF000000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0"/>
      <name val="ＭＳ Ｐゴシック"/>
      <family val="3"/>
      <charset val="128"/>
      <scheme val="major"/>
    </font>
    <font>
      <i/>
      <u/>
      <sz val="10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8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</borders>
  <cellStyleXfs count="55">
    <xf numFmtId="0" fontId="0" fillId="0" borderId="0">
      <alignment vertical="center"/>
    </xf>
    <xf numFmtId="0" fontId="15" fillId="2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20" borderId="1" applyNumberFormat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" fillId="22" borderId="2" applyNumberFormat="0" applyFont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23" borderId="4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7" fontId="4" fillId="0" borderId="0">
      <alignment horizontal="center"/>
    </xf>
    <xf numFmtId="0" fontId="26" fillId="0" borderId="8" applyNumberFormat="0" applyFill="0" applyAlignment="0" applyProtection="0">
      <alignment vertical="center"/>
    </xf>
    <xf numFmtId="0" fontId="27" fillId="23" borderId="9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176" fontId="15" fillId="0" borderId="0" applyFont="0" applyFill="0" applyBorder="0" applyAlignment="0" applyProtection="0">
      <alignment vertical="center"/>
    </xf>
    <xf numFmtId="0" fontId="29" fillId="7" borderId="4" applyNumberFormat="0" applyAlignment="0" applyProtection="0">
      <alignment vertical="center"/>
    </xf>
    <xf numFmtId="0" fontId="37" fillId="0" borderId="0">
      <alignment vertical="center"/>
    </xf>
    <xf numFmtId="0" fontId="12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1" fillId="0" borderId="0"/>
    <xf numFmtId="0" fontId="2" fillId="0" borderId="0"/>
    <xf numFmtId="0" fontId="2" fillId="0" borderId="0">
      <alignment vertical="center"/>
    </xf>
    <xf numFmtId="0" fontId="12" fillId="0" borderId="0">
      <alignment vertical="center"/>
    </xf>
    <xf numFmtId="0" fontId="5" fillId="0" borderId="0" applyNumberFormat="0" applyFill="0" applyBorder="0" applyProtection="0">
      <alignment horizontal="center" vertical="center"/>
    </xf>
    <xf numFmtId="0" fontId="30" fillId="4" borderId="0" applyNumberFormat="0" applyBorder="0" applyAlignment="0" applyProtection="0">
      <alignment vertical="center"/>
    </xf>
    <xf numFmtId="0" fontId="12" fillId="0" borderId="0">
      <alignment vertical="center"/>
    </xf>
    <xf numFmtId="0" fontId="44" fillId="0" borderId="0" applyNumberFormat="0" applyFill="0" applyBorder="0" applyAlignment="0" applyProtection="0">
      <alignment vertical="center"/>
    </xf>
  </cellStyleXfs>
  <cellXfs count="323">
    <xf numFmtId="0" fontId="0" fillId="0" borderId="0" xfId="0">
      <alignment vertical="center"/>
    </xf>
    <xf numFmtId="0" fontId="6" fillId="0" borderId="0" xfId="48" applyFont="1"/>
    <xf numFmtId="0" fontId="7" fillId="0" borderId="0" xfId="48" applyFont="1" applyAlignment="1">
      <alignment horizontal="justify"/>
    </xf>
    <xf numFmtId="0" fontId="6" fillId="24" borderId="0" xfId="48" applyFont="1" applyFill="1"/>
    <xf numFmtId="0" fontId="7" fillId="24" borderId="0" xfId="48" applyFont="1" applyFill="1" applyAlignment="1">
      <alignment horizontal="justify"/>
    </xf>
    <xf numFmtId="0" fontId="6" fillId="0" borderId="0" xfId="48" applyFont="1" applyFill="1"/>
    <xf numFmtId="0" fontId="6" fillId="0" borderId="0" xfId="48" applyFont="1" applyAlignment="1">
      <alignment vertical="center"/>
    </xf>
    <xf numFmtId="0" fontId="8" fillId="0" borderId="0" xfId="48" applyFont="1" applyAlignment="1">
      <alignment horizontal="justify" vertical="center" wrapText="1"/>
    </xf>
    <xf numFmtId="0" fontId="8" fillId="0" borderId="10" xfId="48" applyFont="1" applyBorder="1" applyAlignment="1">
      <alignment horizontal="center" vertical="center" wrapText="1"/>
    </xf>
    <xf numFmtId="0" fontId="9" fillId="0" borderId="0" xfId="48" applyFont="1" applyBorder="1" applyAlignment="1">
      <alignment horizontal="center" vertical="center" wrapText="1"/>
    </xf>
    <xf numFmtId="0" fontId="10" fillId="0" borderId="0" xfId="48" applyFont="1" applyBorder="1" applyAlignment="1">
      <alignment horizontal="center" vertical="center" wrapText="1"/>
    </xf>
    <xf numFmtId="0" fontId="7" fillId="0" borderId="0" xfId="48" applyFont="1" applyAlignment="1">
      <alignment horizontal="justify" vertical="center" wrapText="1"/>
    </xf>
    <xf numFmtId="0" fontId="7" fillId="0" borderId="0" xfId="48" applyFont="1" applyBorder="1" applyAlignment="1">
      <alignment horizontal="justify" vertical="center" wrapText="1"/>
    </xf>
    <xf numFmtId="177" fontId="8" fillId="0" borderId="0" xfId="48" applyNumberFormat="1" applyFont="1" applyBorder="1" applyAlignment="1">
      <alignment horizontal="center" vertical="center" wrapText="1"/>
    </xf>
    <xf numFmtId="0" fontId="8" fillId="0" borderId="0" xfId="48" applyFont="1" applyBorder="1" applyAlignment="1">
      <alignment horizontal="center" vertical="center" wrapText="1"/>
    </xf>
    <xf numFmtId="0" fontId="6" fillId="0" borderId="11" xfId="48" applyFont="1" applyBorder="1" applyAlignment="1">
      <alignment horizontal="center"/>
    </xf>
    <xf numFmtId="0" fontId="6" fillId="0" borderId="0" xfId="48" applyFont="1" applyBorder="1"/>
    <xf numFmtId="0" fontId="8" fillId="0" borderId="0" xfId="48" applyFont="1" applyAlignment="1">
      <alignment horizontal="distributed" vertical="center" wrapText="1"/>
    </xf>
    <xf numFmtId="179" fontId="4" fillId="0" borderId="0" xfId="37" applyNumberFormat="1" applyFont="1" applyAlignment="1">
      <alignment horizontal="centerContinuous"/>
    </xf>
    <xf numFmtId="0" fontId="12" fillId="0" borderId="0" xfId="49" applyFont="1">
      <alignment vertical="center"/>
    </xf>
    <xf numFmtId="0" fontId="12" fillId="0" borderId="0" xfId="49" applyFont="1" applyBorder="1">
      <alignment vertical="center"/>
    </xf>
    <xf numFmtId="0" fontId="12" fillId="0" borderId="0" xfId="49" applyFont="1" applyBorder="1" applyAlignment="1">
      <alignment vertical="top"/>
    </xf>
    <xf numFmtId="0" fontId="12" fillId="0" borderId="0" xfId="49" applyFont="1" applyBorder="1" applyAlignment="1">
      <alignment vertical="center"/>
    </xf>
    <xf numFmtId="0" fontId="12" fillId="0" borderId="0" xfId="49" applyFont="1" applyAlignment="1">
      <alignment vertical="center"/>
    </xf>
    <xf numFmtId="0" fontId="12" fillId="0" borderId="12" xfId="49" applyFont="1" applyBorder="1" applyAlignment="1">
      <alignment vertical="center"/>
    </xf>
    <xf numFmtId="0" fontId="12" fillId="0" borderId="13" xfId="49" applyFont="1" applyBorder="1" applyAlignment="1">
      <alignment vertical="center"/>
    </xf>
    <xf numFmtId="0" fontId="12" fillId="0" borderId="14" xfId="49" applyFont="1" applyBorder="1" applyAlignment="1">
      <alignment vertical="center"/>
    </xf>
    <xf numFmtId="0" fontId="12" fillId="0" borderId="10" xfId="49" applyFont="1" applyBorder="1" applyAlignment="1">
      <alignment vertical="center"/>
    </xf>
    <xf numFmtId="0" fontId="12" fillId="0" borderId="15" xfId="49" applyFont="1" applyBorder="1" applyAlignment="1">
      <alignment vertical="center"/>
    </xf>
    <xf numFmtId="0" fontId="13" fillId="0" borderId="0" xfId="49" applyFont="1">
      <alignment vertical="center"/>
    </xf>
    <xf numFmtId="0" fontId="13" fillId="0" borderId="0" xfId="49" applyFont="1" applyBorder="1">
      <alignment vertical="center"/>
    </xf>
    <xf numFmtId="0" fontId="8" fillId="0" borderId="16" xfId="48" applyFont="1" applyBorder="1" applyAlignment="1">
      <alignment horizontal="center" vertical="center" wrapText="1"/>
    </xf>
    <xf numFmtId="177" fontId="4" fillId="0" borderId="0" xfId="37" applyFont="1" applyAlignment="1">
      <alignment horizontal="centerContinuous"/>
    </xf>
    <xf numFmtId="178" fontId="4" fillId="0" borderId="0" xfId="37" applyNumberFormat="1" applyFont="1" applyAlignment="1">
      <alignment horizontal="centerContinuous"/>
    </xf>
    <xf numFmtId="0" fontId="11" fillId="0" borderId="0" xfId="48" applyFont="1" applyBorder="1" applyAlignment="1">
      <alignment horizontal="center" vertical="center" wrapText="1"/>
    </xf>
    <xf numFmtId="0" fontId="7" fillId="0" borderId="0" xfId="48" applyFont="1" applyBorder="1" applyAlignment="1">
      <alignment horizontal="center" vertical="center" wrapText="1"/>
    </xf>
    <xf numFmtId="0" fontId="11" fillId="0" borderId="0" xfId="48" applyFont="1" applyBorder="1" applyAlignment="1">
      <alignment vertical="center" wrapText="1"/>
    </xf>
    <xf numFmtId="0" fontId="8" fillId="0" borderId="16" xfId="48" applyFont="1" applyBorder="1" applyAlignment="1">
      <alignment vertical="center" wrapText="1"/>
    </xf>
    <xf numFmtId="0" fontId="9" fillId="0" borderId="0" xfId="48" applyFont="1"/>
    <xf numFmtId="0" fontId="9" fillId="0" borderId="0" xfId="48" applyFont="1" applyAlignment="1">
      <alignment horizontal="centerContinuous"/>
    </xf>
    <xf numFmtId="0" fontId="12" fillId="0" borderId="17" xfId="49" applyFont="1" applyBorder="1" applyAlignment="1">
      <alignment vertical="center"/>
    </xf>
    <xf numFmtId="0" fontId="12" fillId="0" borderId="18" xfId="49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12" fillId="0" borderId="19" xfId="49" applyFont="1" applyBorder="1" applyAlignment="1">
      <alignment vertical="center"/>
    </xf>
    <xf numFmtId="0" fontId="0" fillId="0" borderId="0" xfId="49" applyFont="1" applyBorder="1" applyAlignment="1">
      <alignment vertical="center"/>
    </xf>
    <xf numFmtId="179" fontId="33" fillId="25" borderId="11" xfId="51" applyNumberFormat="1" applyFont="1" applyFill="1" applyBorder="1" applyAlignment="1">
      <alignment horizontal="center" vertical="center"/>
    </xf>
    <xf numFmtId="178" fontId="33" fillId="25" borderId="11" xfId="51" applyNumberFormat="1" applyFont="1" applyFill="1" applyBorder="1" applyAlignment="1">
      <alignment horizontal="center" vertical="center"/>
    </xf>
    <xf numFmtId="0" fontId="33" fillId="25" borderId="11" xfId="51" applyFont="1" applyFill="1" applyBorder="1" applyAlignment="1">
      <alignment horizontal="center" vertical="center"/>
    </xf>
    <xf numFmtId="179" fontId="33" fillId="25" borderId="20" xfId="51" applyNumberFormat="1" applyFont="1" applyFill="1" applyBorder="1" applyAlignment="1">
      <alignment horizontal="centerContinuous" vertical="center"/>
    </xf>
    <xf numFmtId="0" fontId="33" fillId="25" borderId="16" xfId="0" applyFont="1" applyFill="1" applyBorder="1" applyAlignment="1">
      <alignment horizontal="centerContinuous" vertical="center"/>
    </xf>
    <xf numFmtId="178" fontId="33" fillId="25" borderId="16" xfId="51" applyNumberFormat="1" applyFont="1" applyFill="1" applyBorder="1" applyAlignment="1">
      <alignment horizontal="centerContinuous" vertical="center"/>
    </xf>
    <xf numFmtId="0" fontId="33" fillId="25" borderId="16" xfId="51" applyFont="1" applyFill="1" applyBorder="1" applyAlignment="1">
      <alignment horizontal="centerContinuous" vertical="center"/>
    </xf>
    <xf numFmtId="0" fontId="33" fillId="25" borderId="21" xfId="51" applyFont="1" applyFill="1" applyBorder="1" applyAlignment="1">
      <alignment horizontal="centerContinuous" vertical="center"/>
    </xf>
    <xf numFmtId="0" fontId="0" fillId="0" borderId="0" xfId="49" applyFont="1" applyAlignment="1">
      <alignment vertical="center"/>
    </xf>
    <xf numFmtId="0" fontId="0" fillId="0" borderId="12" xfId="49" applyFont="1" applyBorder="1" applyAlignment="1">
      <alignment vertical="center"/>
    </xf>
    <xf numFmtId="0" fontId="0" fillId="0" borderId="18" xfId="49" applyFont="1" applyBorder="1" applyAlignment="1">
      <alignment vertical="center"/>
    </xf>
    <xf numFmtId="0" fontId="0" fillId="0" borderId="16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0" xfId="49" applyFont="1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0" xfId="49" quotePrefix="1" applyFont="1" applyBorder="1" applyAlignment="1">
      <alignment horizontal="centerContinuous" vertical="center"/>
    </xf>
    <xf numFmtId="0" fontId="0" fillId="0" borderId="16" xfId="0" applyBorder="1" applyAlignment="1">
      <alignment horizontal="centerContinuous" vertical="center"/>
    </xf>
    <xf numFmtId="0" fontId="0" fillId="0" borderId="21" xfId="0" applyBorder="1" applyAlignment="1">
      <alignment horizontal="centerContinuous" vertical="center"/>
    </xf>
    <xf numFmtId="0" fontId="0" fillId="0" borderId="21" xfId="0" quotePrefix="1" applyBorder="1" applyAlignment="1">
      <alignment horizontal="right" vertical="center"/>
    </xf>
    <xf numFmtId="0" fontId="0" fillId="0" borderId="20" xfId="49" applyFont="1" applyBorder="1" applyAlignment="1">
      <alignment horizontal="centerContinuous" vertical="center"/>
    </xf>
    <xf numFmtId="0" fontId="12" fillId="0" borderId="21" xfId="49" applyFont="1" applyBorder="1" applyAlignment="1">
      <alignment horizontal="centerContinuous" vertical="center"/>
    </xf>
    <xf numFmtId="0" fontId="0" fillId="0" borderId="21" xfId="0" quotePrefix="1" applyBorder="1" applyAlignment="1">
      <alignment horizontal="centerContinuous" vertical="center"/>
    </xf>
    <xf numFmtId="0" fontId="5" fillId="0" borderId="20" xfId="49" quotePrefix="1" applyFont="1" applyBorder="1" applyAlignment="1">
      <alignment horizontal="left" vertical="center"/>
    </xf>
    <xf numFmtId="0" fontId="0" fillId="0" borderId="14" xfId="49" quotePrefix="1" applyFont="1" applyBorder="1" applyAlignment="1">
      <alignment horizontal="centerContinuous" vertical="center"/>
    </xf>
    <xf numFmtId="0" fontId="0" fillId="0" borderId="10" xfId="0" applyBorder="1" applyAlignment="1">
      <alignment horizontal="centerContinuous" vertical="center"/>
    </xf>
    <xf numFmtId="179" fontId="12" fillId="0" borderId="11" xfId="46" applyNumberFormat="1" applyFont="1" applyBorder="1" applyAlignment="1">
      <alignment horizontal="center" vertical="center"/>
    </xf>
    <xf numFmtId="2" fontId="12" fillId="0" borderId="11" xfId="46" applyNumberFormat="1" applyFont="1" applyBorder="1" applyAlignment="1">
      <alignment horizontal="center" vertical="center"/>
    </xf>
    <xf numFmtId="0" fontId="12" fillId="0" borderId="11" xfId="46" applyFont="1" applyBorder="1" applyAlignment="1">
      <alignment horizontal="center" vertical="center"/>
    </xf>
    <xf numFmtId="0" fontId="12" fillId="0" borderId="0" xfId="49" applyFont="1" applyAlignment="1">
      <alignment horizontal="center" vertical="center"/>
    </xf>
    <xf numFmtId="0" fontId="5" fillId="27" borderId="11" xfId="0" applyFont="1" applyFill="1" applyBorder="1" applyAlignment="1">
      <alignment horizontal="center" vertical="center"/>
    </xf>
    <xf numFmtId="0" fontId="5" fillId="27" borderId="11" xfId="49" applyFont="1" applyFill="1" applyBorder="1" applyAlignment="1">
      <alignment horizontal="center" vertical="center"/>
    </xf>
    <xf numFmtId="0" fontId="12" fillId="0" borderId="11" xfId="49" applyFont="1" applyBorder="1" applyAlignment="1">
      <alignment horizontal="center" vertical="top"/>
    </xf>
    <xf numFmtId="0" fontId="5" fillId="27" borderId="11" xfId="0" applyFont="1" applyFill="1" applyBorder="1" applyAlignment="1">
      <alignment horizontal="center" vertical="center" wrapText="1"/>
    </xf>
    <xf numFmtId="0" fontId="36" fillId="0" borderId="0" xfId="49" applyFont="1">
      <alignment vertical="center"/>
    </xf>
    <xf numFmtId="0" fontId="9" fillId="0" borderId="23" xfId="48" applyFont="1" applyBorder="1"/>
    <xf numFmtId="0" fontId="9" fillId="0" borderId="22" xfId="48" applyFont="1" applyBorder="1" applyAlignment="1">
      <alignment horizontal="centerContinuous"/>
    </xf>
    <xf numFmtId="0" fontId="6" fillId="0" borderId="20" xfId="48" applyFont="1" applyBorder="1" applyAlignment="1">
      <alignment horizontal="center"/>
    </xf>
    <xf numFmtId="0" fontId="9" fillId="0" borderId="12" xfId="48" applyFont="1" applyBorder="1"/>
    <xf numFmtId="0" fontId="9" fillId="0" borderId="14" xfId="48" applyFont="1" applyBorder="1" applyAlignment="1">
      <alignment horizontal="centerContinuous"/>
    </xf>
    <xf numFmtId="0" fontId="6" fillId="0" borderId="24" xfId="48" applyFont="1" applyBorder="1" applyAlignment="1">
      <alignment horizontal="center"/>
    </xf>
    <xf numFmtId="0" fontId="9" fillId="0" borderId="25" xfId="48" applyFont="1" applyBorder="1"/>
    <xf numFmtId="0" fontId="9" fillId="0" borderId="26" xfId="48" applyFont="1" applyBorder="1" applyAlignment="1">
      <alignment horizontal="centerContinuous"/>
    </xf>
    <xf numFmtId="181" fontId="8" fillId="0" borderId="10" xfId="48" applyNumberFormat="1" applyFont="1" applyBorder="1" applyAlignment="1">
      <alignment horizontal="center" vertical="center" wrapText="1"/>
    </xf>
    <xf numFmtId="0" fontId="9" fillId="0" borderId="27" xfId="48" applyFont="1" applyBorder="1"/>
    <xf numFmtId="0" fontId="39" fillId="0" borderId="0" xfId="0" applyFont="1">
      <alignment vertical="center"/>
    </xf>
    <xf numFmtId="0" fontId="40" fillId="0" borderId="0" xfId="0" applyFont="1">
      <alignment vertical="center"/>
    </xf>
    <xf numFmtId="0" fontId="12" fillId="0" borderId="0" xfId="50" applyFont="1">
      <alignment vertical="center"/>
    </xf>
    <xf numFmtId="0" fontId="5" fillId="27" borderId="21" xfId="49" applyFont="1" applyFill="1" applyBorder="1" applyAlignment="1">
      <alignment vertical="center"/>
    </xf>
    <xf numFmtId="0" fontId="5" fillId="27" borderId="11" xfId="49" applyFont="1" applyFill="1" applyBorder="1" applyAlignment="1">
      <alignment horizontal="center" vertical="center" wrapText="1"/>
    </xf>
    <xf numFmtId="0" fontId="5" fillId="27" borderId="20" xfId="49" applyFont="1" applyFill="1" applyBorder="1" applyAlignment="1">
      <alignment horizontal="left" vertical="center"/>
    </xf>
    <xf numFmtId="0" fontId="5" fillId="27" borderId="16" xfId="49" applyFont="1" applyFill="1" applyBorder="1" applyAlignment="1">
      <alignment vertical="center"/>
    </xf>
    <xf numFmtId="14" fontId="12" fillId="0" borderId="0" xfId="49" applyNumberFormat="1" applyFont="1">
      <alignment vertical="center"/>
    </xf>
    <xf numFmtId="0" fontId="38" fillId="0" borderId="0" xfId="49" applyFont="1">
      <alignment vertical="center"/>
    </xf>
    <xf numFmtId="0" fontId="38" fillId="0" borderId="0" xfId="49" applyFont="1" applyBorder="1" applyAlignment="1">
      <alignment vertical="center"/>
    </xf>
    <xf numFmtId="0" fontId="38" fillId="0" borderId="0" xfId="49" applyFont="1" applyFill="1">
      <alignment vertical="center"/>
    </xf>
    <xf numFmtId="0" fontId="38" fillId="0" borderId="0" xfId="0" applyFont="1">
      <alignment vertical="center"/>
    </xf>
    <xf numFmtId="0" fontId="12" fillId="0" borderId="0" xfId="53" applyFont="1">
      <alignment vertical="center"/>
    </xf>
    <xf numFmtId="0" fontId="33" fillId="25" borderId="18" xfId="53" applyFont="1" applyFill="1" applyBorder="1" applyAlignment="1">
      <alignment horizontal="center" vertical="center"/>
    </xf>
    <xf numFmtId="178" fontId="12" fillId="0" borderId="11" xfId="46" applyNumberFormat="1" applyFont="1" applyBorder="1" applyAlignment="1">
      <alignment horizontal="center" vertical="center"/>
    </xf>
    <xf numFmtId="2" fontId="12" fillId="0" borderId="11" xfId="53" applyNumberFormat="1" applyFont="1" applyBorder="1" applyAlignment="1">
      <alignment horizontal="center" vertical="center"/>
    </xf>
    <xf numFmtId="0" fontId="12" fillId="0" borderId="11" xfId="53" applyFont="1" applyBorder="1">
      <alignment vertical="center"/>
    </xf>
    <xf numFmtId="179" fontId="12" fillId="0" borderId="11" xfId="53" applyNumberFormat="1" applyFont="1" applyBorder="1" applyAlignment="1">
      <alignment horizontal="center" vertical="center"/>
    </xf>
    <xf numFmtId="178" fontId="12" fillId="0" borderId="11" xfId="53" applyNumberFormat="1" applyFont="1" applyBorder="1" applyAlignment="1">
      <alignment horizontal="center" vertical="center"/>
    </xf>
    <xf numFmtId="0" fontId="12" fillId="0" borderId="11" xfId="53" applyBorder="1" applyAlignment="1">
      <alignment horizontal="center" vertical="center"/>
    </xf>
    <xf numFmtId="0" fontId="12" fillId="0" borderId="11" xfId="53" applyFont="1" applyBorder="1" applyAlignment="1">
      <alignment horizontal="center" vertical="center"/>
    </xf>
    <xf numFmtId="2" fontId="12" fillId="0" borderId="11" xfId="53" applyNumberFormat="1" applyFont="1" applyBorder="1" applyAlignment="1">
      <alignment horizontal="left" vertical="center"/>
    </xf>
    <xf numFmtId="179" fontId="12" fillId="0" borderId="0" xfId="53" applyNumberFormat="1" applyFont="1" applyAlignment="1">
      <alignment horizontal="center" vertical="center"/>
    </xf>
    <xf numFmtId="0" fontId="12" fillId="0" borderId="0" xfId="53" applyFont="1" applyAlignment="1">
      <alignment horizontal="center" vertical="center"/>
    </xf>
    <xf numFmtId="178" fontId="12" fillId="0" borderId="0" xfId="53" applyNumberFormat="1" applyFont="1">
      <alignment vertical="center"/>
    </xf>
    <xf numFmtId="178" fontId="12" fillId="0" borderId="21" xfId="49" applyNumberFormat="1" applyFont="1" applyBorder="1" applyAlignment="1">
      <alignment horizontal="center" vertical="center" wrapText="1"/>
    </xf>
    <xf numFmtId="0" fontId="36" fillId="0" borderId="16" xfId="49" applyFont="1" applyBorder="1">
      <alignment vertical="center"/>
    </xf>
    <xf numFmtId="0" fontId="36" fillId="0" borderId="21" xfId="49" applyFont="1" applyBorder="1">
      <alignment vertical="center"/>
    </xf>
    <xf numFmtId="0" fontId="45" fillId="27" borderId="11" xfId="0" applyFont="1" applyFill="1" applyBorder="1" applyAlignment="1">
      <alignment horizontal="center" vertical="center"/>
    </xf>
    <xf numFmtId="0" fontId="45" fillId="27" borderId="11" xfId="0" applyFont="1" applyFill="1" applyBorder="1" applyAlignment="1">
      <alignment horizontal="center" vertical="center" wrapText="1"/>
    </xf>
    <xf numFmtId="0" fontId="45" fillId="27" borderId="21" xfId="0" applyFont="1" applyFill="1" applyBorder="1" applyAlignment="1">
      <alignment horizontal="center" vertical="center"/>
    </xf>
    <xf numFmtId="0" fontId="5" fillId="27" borderId="20" xfId="49" applyFont="1" applyFill="1" applyBorder="1" applyAlignment="1">
      <alignment horizontal="center" vertical="center"/>
    </xf>
    <xf numFmtId="0" fontId="12" fillId="0" borderId="17" xfId="49" applyFont="1" applyBorder="1">
      <alignment vertical="center"/>
    </xf>
    <xf numFmtId="0" fontId="12" fillId="0" borderId="18" xfId="49" applyFont="1" applyBorder="1">
      <alignment vertical="center"/>
    </xf>
    <xf numFmtId="0" fontId="12" fillId="0" borderId="19" xfId="49" applyFont="1" applyBorder="1">
      <alignment vertical="center"/>
    </xf>
    <xf numFmtId="0" fontId="12" fillId="0" borderId="12" xfId="49" applyFont="1" applyBorder="1">
      <alignment vertical="center"/>
    </xf>
    <xf numFmtId="0" fontId="12" fillId="0" borderId="13" xfId="49" applyFont="1" applyBorder="1">
      <alignment vertical="center"/>
    </xf>
    <xf numFmtId="0" fontId="12" fillId="0" borderId="14" xfId="49" applyFont="1" applyBorder="1">
      <alignment vertical="center"/>
    </xf>
    <xf numFmtId="0" fontId="12" fillId="0" borderId="10" xfId="49" applyFont="1" applyBorder="1">
      <alignment vertical="center"/>
    </xf>
    <xf numFmtId="0" fontId="12" fillId="0" borderId="15" xfId="49" applyFont="1" applyBorder="1">
      <alignment vertical="center"/>
    </xf>
    <xf numFmtId="0" fontId="12" fillId="28" borderId="17" xfId="49" applyFont="1" applyFill="1" applyBorder="1">
      <alignment vertical="center"/>
    </xf>
    <xf numFmtId="0" fontId="12" fillId="28" borderId="18" xfId="49" applyFont="1" applyFill="1" applyBorder="1">
      <alignment vertical="center"/>
    </xf>
    <xf numFmtId="0" fontId="12" fillId="28" borderId="12" xfId="49" applyFont="1" applyFill="1" applyBorder="1">
      <alignment vertical="center"/>
    </xf>
    <xf numFmtId="0" fontId="12" fillId="28" borderId="0" xfId="49" applyFont="1" applyFill="1" applyBorder="1">
      <alignment vertical="center"/>
    </xf>
    <xf numFmtId="0" fontId="12" fillId="28" borderId="14" xfId="49" applyFont="1" applyFill="1" applyBorder="1">
      <alignment vertical="center"/>
    </xf>
    <xf numFmtId="0" fontId="12" fillId="28" borderId="10" xfId="49" applyFont="1" applyFill="1" applyBorder="1">
      <alignment vertical="center"/>
    </xf>
    <xf numFmtId="0" fontId="12" fillId="28" borderId="19" xfId="49" applyFont="1" applyFill="1" applyBorder="1">
      <alignment vertical="center"/>
    </xf>
    <xf numFmtId="0" fontId="12" fillId="28" borderId="13" xfId="49" applyFont="1" applyFill="1" applyBorder="1">
      <alignment vertical="center"/>
    </xf>
    <xf numFmtId="0" fontId="12" fillId="28" borderId="15" xfId="49" applyFont="1" applyFill="1" applyBorder="1">
      <alignment vertical="center"/>
    </xf>
    <xf numFmtId="0" fontId="5" fillId="27" borderId="20" xfId="49" applyFont="1" applyFill="1" applyBorder="1" applyAlignment="1">
      <alignment horizontal="center" vertical="center" wrapText="1"/>
    </xf>
    <xf numFmtId="0" fontId="12" fillId="0" borderId="11" xfId="49" applyFont="1" applyBorder="1">
      <alignment vertical="center"/>
    </xf>
    <xf numFmtId="0" fontId="12" fillId="0" borderId="11" xfId="49" applyFont="1" applyBorder="1" applyAlignment="1">
      <alignment horizontal="left" vertical="center"/>
    </xf>
    <xf numFmtId="0" fontId="46" fillId="0" borderId="0" xfId="49" applyFont="1">
      <alignment vertical="center"/>
    </xf>
    <xf numFmtId="0" fontId="47" fillId="0" borderId="0" xfId="49" applyFont="1">
      <alignment vertical="center"/>
    </xf>
    <xf numFmtId="0" fontId="12" fillId="0" borderId="11" xfId="49" applyFont="1" applyBorder="1" applyAlignment="1">
      <alignment horizontal="left" vertical="top" wrapText="1"/>
    </xf>
    <xf numFmtId="0" fontId="12" fillId="0" borderId="11" xfId="49" applyFont="1" applyBorder="1" applyAlignment="1">
      <alignment horizontal="center" vertical="top" wrapText="1"/>
    </xf>
    <xf numFmtId="0" fontId="12" fillId="0" borderId="11" xfId="49" applyFont="1" applyBorder="1" applyAlignment="1">
      <alignment horizontal="center" vertical="center" wrapText="1"/>
    </xf>
    <xf numFmtId="0" fontId="12" fillId="0" borderId="0" xfId="49" applyFont="1" applyAlignment="1"/>
    <xf numFmtId="0" fontId="48" fillId="0" borderId="10" xfId="48" applyNumberFormat="1" applyFont="1" applyBorder="1" applyAlignment="1">
      <alignment horizontal="center" vertical="center" wrapText="1"/>
    </xf>
    <xf numFmtId="0" fontId="49" fillId="0" borderId="10" xfId="48" applyNumberFormat="1" applyFont="1" applyBorder="1" applyAlignment="1">
      <alignment horizontal="center" vertical="center" wrapText="1"/>
    </xf>
    <xf numFmtId="0" fontId="6" fillId="0" borderId="18" xfId="48" applyFont="1" applyBorder="1"/>
    <xf numFmtId="179" fontId="54" fillId="0" borderId="0" xfId="37" applyNumberFormat="1" applyFont="1" applyAlignment="1">
      <alignment horizontal="centerContinuous"/>
    </xf>
    <xf numFmtId="177" fontId="54" fillId="0" borderId="0" xfId="37" applyFont="1" applyAlignment="1">
      <alignment horizontal="centerContinuous"/>
    </xf>
    <xf numFmtId="178" fontId="54" fillId="0" borderId="0" xfId="37" applyNumberFormat="1" applyFont="1" applyAlignment="1">
      <alignment horizontal="centerContinuous"/>
    </xf>
    <xf numFmtId="0" fontId="55" fillId="0" borderId="0" xfId="0" applyFont="1">
      <alignment vertical="center"/>
    </xf>
    <xf numFmtId="179" fontId="55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178" fontId="55" fillId="0" borderId="0" xfId="0" applyNumberFormat="1" applyFont="1">
      <alignment vertical="center"/>
    </xf>
    <xf numFmtId="0" fontId="55" fillId="0" borderId="11" xfId="0" applyNumberFormat="1" applyFont="1" applyBorder="1" applyAlignment="1">
      <alignment horizontal="center" vertical="center"/>
    </xf>
    <xf numFmtId="179" fontId="55" fillId="0" borderId="14" xfId="0" applyNumberFormat="1" applyFont="1" applyBorder="1" applyAlignment="1">
      <alignment horizontal="center" vertical="center"/>
    </xf>
    <xf numFmtId="0" fontId="55" fillId="0" borderId="10" xfId="0" applyNumberFormat="1" applyFont="1" applyBorder="1" applyAlignment="1">
      <alignment horizontal="left" vertical="center"/>
    </xf>
    <xf numFmtId="0" fontId="55" fillId="0" borderId="15" xfId="0" applyNumberFormat="1" applyFont="1" applyBorder="1" applyAlignment="1">
      <alignment horizontal="left" vertical="center"/>
    </xf>
    <xf numFmtId="0" fontId="55" fillId="0" borderId="0" xfId="49" applyFont="1" applyBorder="1" applyAlignment="1">
      <alignment vertical="center"/>
    </xf>
    <xf numFmtId="0" fontId="55" fillId="0" borderId="10" xfId="0" applyFont="1" applyBorder="1">
      <alignment vertical="center"/>
    </xf>
    <xf numFmtId="0" fontId="55" fillId="0" borderId="10" xfId="0" applyFont="1" applyBorder="1" applyAlignment="1">
      <alignment horizontal="center" vertical="center"/>
    </xf>
    <xf numFmtId="0" fontId="56" fillId="0" borderId="0" xfId="0" applyFont="1">
      <alignment vertical="center"/>
    </xf>
    <xf numFmtId="0" fontId="55" fillId="0" borderId="16" xfId="0" applyFont="1" applyBorder="1">
      <alignment vertical="center"/>
    </xf>
    <xf numFmtId="182" fontId="55" fillId="0" borderId="10" xfId="0" applyNumberFormat="1" applyFont="1" applyBorder="1" applyAlignment="1">
      <alignment horizontal="center" vertical="center"/>
    </xf>
    <xf numFmtId="0" fontId="55" fillId="28" borderId="11" xfId="0" applyFont="1" applyFill="1" applyBorder="1">
      <alignment vertical="center"/>
    </xf>
    <xf numFmtId="0" fontId="55" fillId="28" borderId="27" xfId="0" applyFont="1" applyFill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55" fillId="0" borderId="11" xfId="0" applyFont="1" applyBorder="1">
      <alignment vertical="center"/>
    </xf>
    <xf numFmtId="180" fontId="55" fillId="0" borderId="11" xfId="0" applyNumberFormat="1" applyFont="1" applyBorder="1">
      <alignment vertical="center"/>
    </xf>
    <xf numFmtId="10" fontId="55" fillId="0" borderId="11" xfId="0" applyNumberFormat="1" applyFont="1" applyBorder="1">
      <alignment vertical="center"/>
    </xf>
    <xf numFmtId="0" fontId="55" fillId="0" borderId="0" xfId="0" applyFont="1" applyBorder="1">
      <alignment vertical="center"/>
    </xf>
    <xf numFmtId="0" fontId="55" fillId="0" borderId="0" xfId="0" applyFont="1" applyBorder="1" applyAlignment="1">
      <alignment vertical="center"/>
    </xf>
    <xf numFmtId="0" fontId="55" fillId="0" borderId="10" xfId="0" applyFont="1" applyBorder="1" applyAlignment="1">
      <alignment vertical="center"/>
    </xf>
    <xf numFmtId="0" fontId="55" fillId="0" borderId="0" xfId="49" applyFont="1" applyAlignment="1">
      <alignment horizontal="center" vertical="center"/>
    </xf>
    <xf numFmtId="0" fontId="55" fillId="0" borderId="11" xfId="49" applyFont="1" applyBorder="1">
      <alignment vertical="center"/>
    </xf>
    <xf numFmtId="0" fontId="55" fillId="0" borderId="20" xfId="0" applyFont="1" applyBorder="1" applyAlignment="1">
      <alignment horizontal="center" vertical="center" wrapText="1"/>
    </xf>
    <xf numFmtId="0" fontId="55" fillId="0" borderId="11" xfId="49" applyFont="1" applyBorder="1" applyAlignment="1">
      <alignment horizontal="center" vertical="center" wrapText="1"/>
    </xf>
    <xf numFmtId="0" fontId="55" fillId="0" borderId="20" xfId="0" applyFont="1" applyBorder="1" applyAlignment="1">
      <alignment horizontal="left" vertical="top" wrapText="1"/>
    </xf>
    <xf numFmtId="0" fontId="55" fillId="0" borderId="11" xfId="49" applyFont="1" applyBorder="1" applyAlignment="1">
      <alignment horizontal="left" vertical="top" wrapText="1"/>
    </xf>
    <xf numFmtId="178" fontId="55" fillId="0" borderId="21" xfId="49" applyNumberFormat="1" applyFont="1" applyBorder="1" applyAlignment="1">
      <alignment horizontal="center" vertical="center" wrapText="1"/>
    </xf>
    <xf numFmtId="0" fontId="55" fillId="0" borderId="21" xfId="49" applyFont="1" applyBorder="1" applyAlignment="1">
      <alignment horizontal="center" vertical="center" wrapText="1"/>
    </xf>
    <xf numFmtId="0" fontId="55" fillId="0" borderId="11" xfId="49" applyFont="1" applyBorder="1" applyAlignment="1">
      <alignment horizontal="left" vertical="center"/>
    </xf>
    <xf numFmtId="0" fontId="55" fillId="0" borderId="11" xfId="0" applyFont="1" applyBorder="1" applyAlignment="1">
      <alignment horizontal="center" vertical="center" wrapText="1"/>
    </xf>
    <xf numFmtId="0" fontId="55" fillId="0" borderId="21" xfId="0" applyFont="1" applyBorder="1" applyAlignment="1">
      <alignment horizontal="center" vertical="center" wrapText="1"/>
    </xf>
    <xf numFmtId="178" fontId="55" fillId="0" borderId="15" xfId="49" applyNumberFormat="1" applyFont="1" applyBorder="1" applyAlignment="1">
      <alignment horizontal="center" vertical="center" wrapText="1"/>
    </xf>
    <xf numFmtId="0" fontId="55" fillId="0" borderId="15" xfId="0" applyFont="1" applyBorder="1" applyAlignment="1">
      <alignment horizontal="center" vertical="center" wrapText="1"/>
    </xf>
    <xf numFmtId="0" fontId="55" fillId="0" borderId="22" xfId="0" applyFont="1" applyBorder="1" applyAlignment="1">
      <alignment horizontal="center" vertical="center" wrapText="1"/>
    </xf>
    <xf numFmtId="0" fontId="55" fillId="0" borderId="0" xfId="49" applyFont="1" applyAlignment="1">
      <alignment vertical="center"/>
    </xf>
    <xf numFmtId="0" fontId="44" fillId="0" borderId="20" xfId="54" quotePrefix="1" applyFont="1" applyBorder="1">
      <alignment vertical="center"/>
    </xf>
    <xf numFmtId="0" fontId="44" fillId="0" borderId="16" xfId="54" applyFont="1" applyBorder="1">
      <alignment vertical="center"/>
    </xf>
    <xf numFmtId="0" fontId="44" fillId="0" borderId="21" xfId="54" applyFont="1" applyBorder="1">
      <alignment vertical="center"/>
    </xf>
    <xf numFmtId="0" fontId="44" fillId="0" borderId="20" xfId="54" applyFont="1" applyBorder="1">
      <alignment vertical="center"/>
    </xf>
    <xf numFmtId="0" fontId="55" fillId="0" borderId="11" xfId="49" applyFont="1" applyBorder="1" applyAlignment="1">
      <alignment horizontal="center" vertical="top"/>
    </xf>
    <xf numFmtId="0" fontId="55" fillId="0" borderId="0" xfId="49" applyFont="1">
      <alignment vertical="center"/>
    </xf>
    <xf numFmtId="49" fontId="55" fillId="0" borderId="0" xfId="50" applyNumberFormat="1" applyFont="1">
      <alignment vertical="center"/>
    </xf>
    <xf numFmtId="0" fontId="55" fillId="0" borderId="0" xfId="49" applyFont="1" applyBorder="1">
      <alignment vertical="center"/>
    </xf>
    <xf numFmtId="0" fontId="12" fillId="0" borderId="11" xfId="49" applyFont="1" applyBorder="1" applyAlignment="1">
      <alignment horizontal="center" vertical="center"/>
    </xf>
    <xf numFmtId="0" fontId="55" fillId="0" borderId="11" xfId="0" applyNumberFormat="1" applyFont="1" applyBorder="1" applyAlignment="1">
      <alignment horizontal="center" vertical="center"/>
    </xf>
    <xf numFmtId="0" fontId="12" fillId="0" borderId="27" xfId="49" applyFont="1" applyBorder="1" applyAlignment="1">
      <alignment horizontal="center" vertical="center" wrapText="1"/>
    </xf>
    <xf numFmtId="178" fontId="12" fillId="0" borderId="19" xfId="49" applyNumberFormat="1" applyFont="1" applyBorder="1" applyAlignment="1">
      <alignment horizontal="center" vertical="center" wrapText="1"/>
    </xf>
    <xf numFmtId="0" fontId="55" fillId="0" borderId="27" xfId="49" applyFont="1" applyBorder="1" applyAlignment="1">
      <alignment horizontal="center" vertical="center" wrapText="1"/>
    </xf>
    <xf numFmtId="178" fontId="55" fillId="0" borderId="19" xfId="49" applyNumberFormat="1" applyFont="1" applyBorder="1" applyAlignment="1">
      <alignment horizontal="center" vertical="center" wrapText="1"/>
    </xf>
    <xf numFmtId="0" fontId="12" fillId="0" borderId="11" xfId="49" applyFont="1" applyBorder="1" applyAlignment="1">
      <alignment vertical="center" wrapText="1"/>
    </xf>
    <xf numFmtId="0" fontId="12" fillId="0" borderId="20" xfId="49" applyFont="1" applyBorder="1">
      <alignment vertical="center"/>
    </xf>
    <xf numFmtId="0" fontId="12" fillId="0" borderId="21" xfId="49" applyFont="1" applyBorder="1">
      <alignment vertical="center"/>
    </xf>
    <xf numFmtId="0" fontId="12" fillId="0" borderId="22" xfId="49" applyFont="1" applyBorder="1">
      <alignment vertical="center"/>
    </xf>
    <xf numFmtId="0" fontId="12" fillId="0" borderId="16" xfId="49" applyFont="1" applyBorder="1">
      <alignment vertical="center"/>
    </xf>
    <xf numFmtId="0" fontId="12" fillId="0" borderId="22" xfId="49" applyFont="1" applyBorder="1" applyAlignment="1">
      <alignment horizontal="center" vertical="center"/>
    </xf>
    <xf numFmtId="0" fontId="12" fillId="0" borderId="18" xfId="49" applyFont="1" applyBorder="1" applyAlignment="1">
      <alignment horizontal="center" vertical="center"/>
    </xf>
    <xf numFmtId="0" fontId="12" fillId="0" borderId="18" xfId="49" applyFont="1" applyBorder="1" applyAlignment="1">
      <alignment vertical="center" wrapText="1"/>
    </xf>
    <xf numFmtId="0" fontId="6" fillId="0" borderId="28" xfId="48" applyFont="1" applyBorder="1" applyAlignment="1">
      <alignment horizontal="center"/>
    </xf>
    <xf numFmtId="0" fontId="6" fillId="0" borderId="21" xfId="48" applyFont="1" applyBorder="1" applyAlignment="1">
      <alignment horizontal="center"/>
    </xf>
    <xf numFmtId="0" fontId="11" fillId="0" borderId="16" xfId="48" applyFont="1" applyBorder="1" applyAlignment="1">
      <alignment horizontal="center" vertical="center" wrapText="1"/>
    </xf>
    <xf numFmtId="0" fontId="11" fillId="0" borderId="10" xfId="48" applyFont="1" applyBorder="1" applyAlignment="1">
      <alignment horizontal="center" vertical="center" wrapText="1"/>
    </xf>
    <xf numFmtId="0" fontId="9" fillId="0" borderId="18" xfId="48" applyFont="1" applyBorder="1" applyAlignment="1">
      <alignment horizontal="center" vertical="center" wrapText="1"/>
    </xf>
    <xf numFmtId="0" fontId="43" fillId="0" borderId="0" xfId="53" applyFont="1" applyAlignment="1">
      <alignment horizontal="center" vertical="center"/>
    </xf>
    <xf numFmtId="0" fontId="6" fillId="0" borderId="20" xfId="48" applyFont="1" applyBorder="1" applyAlignment="1">
      <alignment horizontal="center"/>
    </xf>
    <xf numFmtId="0" fontId="6" fillId="0" borderId="16" xfId="48" applyFont="1" applyBorder="1" applyAlignment="1">
      <alignment horizontal="center"/>
    </xf>
    <xf numFmtId="0" fontId="7" fillId="0" borderId="0" xfId="48" applyFont="1" applyBorder="1" applyAlignment="1">
      <alignment horizontal="center" vertical="center" wrapText="1"/>
    </xf>
    <xf numFmtId="177" fontId="8" fillId="0" borderId="10" xfId="48" applyNumberFormat="1" applyFont="1" applyBorder="1" applyAlignment="1">
      <alignment horizontal="center" vertical="center" wrapText="1"/>
    </xf>
    <xf numFmtId="177" fontId="8" fillId="0" borderId="16" xfId="48" applyNumberFormat="1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3" xfId="0" applyFont="1" applyBorder="1" applyAlignment="1">
      <alignment horizontal="center" vertical="center"/>
    </xf>
    <xf numFmtId="0" fontId="55" fillId="28" borderId="11" xfId="0" applyFont="1" applyFill="1" applyBorder="1" applyAlignment="1">
      <alignment horizontal="center" vertical="center"/>
    </xf>
    <xf numFmtId="0" fontId="12" fillId="27" borderId="11" xfId="49" applyFont="1" applyFill="1" applyBorder="1" applyAlignment="1">
      <alignment horizontal="center" vertical="center"/>
    </xf>
    <xf numFmtId="0" fontId="55" fillId="27" borderId="11" xfId="49" applyFont="1" applyFill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182" fontId="12" fillId="0" borderId="11" xfId="49" applyNumberFormat="1" applyFont="1" applyBorder="1" applyAlignment="1">
      <alignment horizontal="center" vertical="center"/>
    </xf>
    <xf numFmtId="182" fontId="12" fillId="0" borderId="20" xfId="49" applyNumberFormat="1" applyFont="1" applyBorder="1" applyAlignment="1">
      <alignment horizontal="center" vertical="center"/>
    </xf>
    <xf numFmtId="0" fontId="55" fillId="0" borderId="21" xfId="49" applyFont="1" applyBorder="1" applyAlignment="1">
      <alignment horizontal="center" vertical="center"/>
    </xf>
    <xf numFmtId="0" fontId="12" fillId="0" borderId="20" xfId="49" applyFont="1" applyBorder="1" applyAlignment="1">
      <alignment horizontal="center" vertical="center"/>
    </xf>
    <xf numFmtId="0" fontId="12" fillId="0" borderId="21" xfId="49" applyFont="1" applyBorder="1" applyAlignment="1">
      <alignment horizontal="center" vertical="center"/>
    </xf>
    <xf numFmtId="182" fontId="55" fillId="0" borderId="21" xfId="49" applyNumberFormat="1" applyFont="1" applyBorder="1" applyAlignment="1">
      <alignment horizontal="center" vertical="center"/>
    </xf>
    <xf numFmtId="182" fontId="12" fillId="0" borderId="21" xfId="49" applyNumberFormat="1" applyFont="1" applyBorder="1" applyAlignment="1">
      <alignment horizontal="center" vertical="center"/>
    </xf>
    <xf numFmtId="0" fontId="12" fillId="27" borderId="27" xfId="49" applyFont="1" applyFill="1" applyBorder="1" applyAlignment="1">
      <alignment horizontal="center" vertical="center"/>
    </xf>
    <xf numFmtId="0" fontId="55" fillId="0" borderId="11" xfId="0" applyFont="1" applyBorder="1" applyAlignment="1">
      <alignment horizontal="left" vertical="center"/>
    </xf>
    <xf numFmtId="0" fontId="55" fillId="0" borderId="27" xfId="0" applyFont="1" applyBorder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5" fillId="28" borderId="17" xfId="0" applyFont="1" applyFill="1" applyBorder="1" applyAlignment="1">
      <alignment horizontal="center" vertical="center"/>
    </xf>
    <xf numFmtId="0" fontId="55" fillId="28" borderId="18" xfId="0" applyFont="1" applyFill="1" applyBorder="1" applyAlignment="1">
      <alignment horizontal="center" vertical="center"/>
    </xf>
    <xf numFmtId="0" fontId="55" fillId="28" borderId="19" xfId="0" applyFont="1" applyFill="1" applyBorder="1" applyAlignment="1">
      <alignment horizontal="center" vertical="center"/>
    </xf>
    <xf numFmtId="0" fontId="55" fillId="28" borderId="14" xfId="0" applyFont="1" applyFill="1" applyBorder="1" applyAlignment="1">
      <alignment horizontal="center" vertical="center"/>
    </xf>
    <xf numFmtId="0" fontId="55" fillId="28" borderId="10" xfId="0" applyFont="1" applyFill="1" applyBorder="1" applyAlignment="1">
      <alignment horizontal="center" vertical="center"/>
    </xf>
    <xf numFmtId="0" fontId="55" fillId="28" borderId="15" xfId="0" applyFont="1" applyFill="1" applyBorder="1" applyAlignment="1">
      <alignment horizontal="center" vertical="center"/>
    </xf>
    <xf numFmtId="0" fontId="12" fillId="0" borderId="16" xfId="49" applyFont="1" applyBorder="1" applyAlignment="1">
      <alignment horizontal="center" vertical="center"/>
    </xf>
    <xf numFmtId="0" fontId="55" fillId="0" borderId="11" xfId="49" applyFont="1" applyBorder="1" applyAlignment="1">
      <alignment vertical="center"/>
    </xf>
    <xf numFmtId="0" fontId="55" fillId="28" borderId="11" xfId="49" applyFont="1" applyFill="1" applyBorder="1" applyAlignment="1">
      <alignment horizontal="center" vertical="center"/>
    </xf>
    <xf numFmtId="0" fontId="12" fillId="28" borderId="11" xfId="49" applyFont="1" applyFill="1" applyBorder="1" applyAlignment="1">
      <alignment horizontal="center" vertical="center"/>
    </xf>
    <xf numFmtId="0" fontId="55" fillId="0" borderId="11" xfId="49" applyFont="1" applyFill="1" applyBorder="1" applyAlignment="1">
      <alignment horizontal="center" vertical="center"/>
    </xf>
    <xf numFmtId="0" fontId="12" fillId="0" borderId="11" xfId="49" applyFont="1" applyBorder="1" applyAlignment="1">
      <alignment horizontal="center" vertical="center"/>
    </xf>
    <xf numFmtId="0" fontId="55" fillId="0" borderId="11" xfId="49" applyFont="1" applyBorder="1" applyAlignment="1">
      <alignment horizontal="center" vertical="center"/>
    </xf>
    <xf numFmtId="0" fontId="5" fillId="27" borderId="20" xfId="0" applyFont="1" applyFill="1" applyBorder="1" applyAlignment="1">
      <alignment horizontal="center" vertical="center" wrapText="1"/>
    </xf>
    <xf numFmtId="0" fontId="5" fillId="27" borderId="16" xfId="0" applyFont="1" applyFill="1" applyBorder="1" applyAlignment="1">
      <alignment horizontal="center" vertical="center" wrapText="1"/>
    </xf>
    <xf numFmtId="0" fontId="5" fillId="27" borderId="21" xfId="0" applyFont="1" applyFill="1" applyBorder="1" applyAlignment="1">
      <alignment horizontal="center" vertical="center" wrapText="1"/>
    </xf>
    <xf numFmtId="0" fontId="5" fillId="27" borderId="17" xfId="49" applyFont="1" applyFill="1" applyBorder="1" applyAlignment="1">
      <alignment horizontal="center" vertical="center"/>
    </xf>
    <xf numFmtId="0" fontId="5" fillId="27" borderId="18" xfId="49" applyFont="1" applyFill="1" applyBorder="1" applyAlignment="1">
      <alignment horizontal="center" vertical="center"/>
    </xf>
    <xf numFmtId="0" fontId="5" fillId="27" borderId="19" xfId="49" applyFont="1" applyFill="1" applyBorder="1" applyAlignment="1">
      <alignment horizontal="center" vertical="center"/>
    </xf>
    <xf numFmtId="0" fontId="5" fillId="27" borderId="14" xfId="49" applyFont="1" applyFill="1" applyBorder="1" applyAlignment="1">
      <alignment horizontal="center" vertical="center"/>
    </xf>
    <xf numFmtId="0" fontId="5" fillId="27" borderId="10" xfId="49" applyFont="1" applyFill="1" applyBorder="1" applyAlignment="1">
      <alignment horizontal="center" vertical="center"/>
    </xf>
    <xf numFmtId="0" fontId="5" fillId="27" borderId="15" xfId="49" applyFont="1" applyFill="1" applyBorder="1" applyAlignment="1">
      <alignment horizontal="center" vertical="center"/>
    </xf>
    <xf numFmtId="0" fontId="55" fillId="0" borderId="20" xfId="0" applyFont="1" applyBorder="1" applyAlignment="1">
      <alignment vertical="center"/>
    </xf>
    <xf numFmtId="0" fontId="55" fillId="0" borderId="16" xfId="0" applyFont="1" applyBorder="1" applyAlignment="1">
      <alignment vertical="center"/>
    </xf>
    <xf numFmtId="0" fontId="55" fillId="0" borderId="21" xfId="0" applyFont="1" applyBorder="1" applyAlignment="1">
      <alignment vertical="center"/>
    </xf>
    <xf numFmtId="0" fontId="55" fillId="0" borderId="20" xfId="0" applyNumberFormat="1" applyFont="1" applyBorder="1" applyAlignment="1">
      <alignment horizontal="center" vertical="center"/>
    </xf>
    <xf numFmtId="0" fontId="55" fillId="0" borderId="16" xfId="0" applyNumberFormat="1" applyFont="1" applyBorder="1" applyAlignment="1">
      <alignment horizontal="center" vertical="center"/>
    </xf>
    <xf numFmtId="0" fontId="55" fillId="0" borderId="21" xfId="0" applyNumberFormat="1" applyFont="1" applyBorder="1" applyAlignment="1">
      <alignment horizontal="center" vertical="center"/>
    </xf>
    <xf numFmtId="0" fontId="5" fillId="27" borderId="27" xfId="0" applyFont="1" applyFill="1" applyBorder="1" applyAlignment="1">
      <alignment horizontal="center" vertical="center"/>
    </xf>
    <xf numFmtId="0" fontId="5" fillId="27" borderId="22" xfId="0" applyFont="1" applyFill="1" applyBorder="1" applyAlignment="1">
      <alignment horizontal="center" vertical="center"/>
    </xf>
    <xf numFmtId="0" fontId="5" fillId="27" borderId="27" xfId="49" applyFont="1" applyFill="1" applyBorder="1" applyAlignment="1">
      <alignment horizontal="center" vertical="center"/>
    </xf>
    <xf numFmtId="0" fontId="5" fillId="27" borderId="22" xfId="49" applyFont="1" applyFill="1" applyBorder="1" applyAlignment="1">
      <alignment horizontal="center" vertical="center"/>
    </xf>
    <xf numFmtId="0" fontId="5" fillId="27" borderId="27" xfId="49" applyFont="1" applyFill="1" applyBorder="1" applyAlignment="1">
      <alignment horizontal="center" vertical="center" wrapText="1"/>
    </xf>
    <xf numFmtId="0" fontId="5" fillId="27" borderId="22" xfId="49" applyFont="1" applyFill="1" applyBorder="1" applyAlignment="1">
      <alignment horizontal="center" vertical="center" wrapText="1"/>
    </xf>
    <xf numFmtId="0" fontId="55" fillId="0" borderId="11" xfId="0" applyFont="1" applyBorder="1" applyAlignment="1">
      <alignment vertical="center"/>
    </xf>
    <xf numFmtId="10" fontId="55" fillId="0" borderId="11" xfId="0" applyNumberFormat="1" applyFont="1" applyBorder="1" applyAlignment="1">
      <alignment horizontal="center" vertical="center"/>
    </xf>
    <xf numFmtId="0" fontId="5" fillId="26" borderId="17" xfId="49" applyFont="1" applyFill="1" applyBorder="1" applyAlignment="1">
      <alignment horizontal="center" vertical="center"/>
    </xf>
    <xf numFmtId="0" fontId="5" fillId="26" borderId="18" xfId="49" applyFont="1" applyFill="1" applyBorder="1" applyAlignment="1">
      <alignment horizontal="center" vertical="center"/>
    </xf>
    <xf numFmtId="0" fontId="5" fillId="26" borderId="19" xfId="49" applyFont="1" applyFill="1" applyBorder="1" applyAlignment="1">
      <alignment horizontal="center" vertical="center"/>
    </xf>
    <xf numFmtId="0" fontId="5" fillId="26" borderId="14" xfId="49" applyFont="1" applyFill="1" applyBorder="1" applyAlignment="1">
      <alignment horizontal="center" vertical="center"/>
    </xf>
    <xf numFmtId="0" fontId="5" fillId="26" borderId="10" xfId="49" applyFont="1" applyFill="1" applyBorder="1" applyAlignment="1">
      <alignment horizontal="center" vertical="center"/>
    </xf>
    <xf numFmtId="0" fontId="5" fillId="26" borderId="15" xfId="49" applyFont="1" applyFill="1" applyBorder="1" applyAlignment="1">
      <alignment horizontal="center" vertical="center"/>
    </xf>
    <xf numFmtId="0" fontId="35" fillId="0" borderId="17" xfId="0" quotePrefix="1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5" fillId="0" borderId="10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12" fillId="26" borderId="27" xfId="49" applyFont="1" applyFill="1" applyBorder="1" applyAlignment="1">
      <alignment horizontal="center" vertical="center" wrapText="1"/>
    </xf>
    <xf numFmtId="0" fontId="12" fillId="26" borderId="27" xfId="49" applyFont="1" applyFill="1" applyBorder="1" applyAlignment="1">
      <alignment horizontal="center" vertical="center"/>
    </xf>
    <xf numFmtId="0" fontId="12" fillId="26" borderId="22" xfId="49" applyFont="1" applyFill="1" applyBorder="1" applyAlignment="1">
      <alignment horizontal="center" vertical="center"/>
    </xf>
    <xf numFmtId="0" fontId="12" fillId="26" borderId="17" xfId="49" applyFont="1" applyFill="1" applyBorder="1" applyAlignment="1">
      <alignment horizontal="center" vertical="center"/>
    </xf>
    <xf numFmtId="0" fontId="0" fillId="26" borderId="18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5" xfId="0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0" fillId="26" borderId="18" xfId="0" applyFill="1" applyBorder="1" applyAlignment="1">
      <alignment vertical="center"/>
    </xf>
    <xf numFmtId="0" fontId="0" fillId="26" borderId="19" xfId="0" applyFill="1" applyBorder="1" applyAlignment="1">
      <alignment vertical="center"/>
    </xf>
    <xf numFmtId="0" fontId="0" fillId="26" borderId="14" xfId="0" applyFill="1" applyBorder="1" applyAlignment="1">
      <alignment vertical="center"/>
    </xf>
    <xf numFmtId="0" fontId="0" fillId="26" borderId="10" xfId="0" applyFill="1" applyBorder="1" applyAlignment="1">
      <alignment vertical="center"/>
    </xf>
    <xf numFmtId="0" fontId="0" fillId="26" borderId="15" xfId="0" applyFill="1" applyBorder="1" applyAlignment="1">
      <alignment vertical="center"/>
    </xf>
    <xf numFmtId="0" fontId="0" fillId="26" borderId="17" xfId="0" applyFill="1" applyBorder="1" applyAlignment="1">
      <alignment horizontal="center" vertical="center"/>
    </xf>
    <xf numFmtId="0" fontId="0" fillId="0" borderId="16" xfId="49" applyFont="1" applyBorder="1" applyAlignment="1">
      <alignment horizontal="center" vertical="center"/>
    </xf>
    <xf numFmtId="0" fontId="12" fillId="26" borderId="18" xfId="49" applyFont="1" applyFill="1" applyBorder="1" applyAlignment="1">
      <alignment horizontal="center" vertical="center"/>
    </xf>
    <xf numFmtId="0" fontId="12" fillId="26" borderId="14" xfId="49" applyFont="1" applyFill="1" applyBorder="1" applyAlignment="1">
      <alignment horizontal="center" vertical="center"/>
    </xf>
    <xf numFmtId="0" fontId="12" fillId="26" borderId="10" xfId="49" applyFont="1" applyFill="1" applyBorder="1" applyAlignment="1">
      <alignment horizontal="center" vertical="center"/>
    </xf>
    <xf numFmtId="56" fontId="0" fillId="0" borderId="11" xfId="49" quotePrefix="1" applyNumberFormat="1" applyFont="1" applyBorder="1" applyAlignment="1">
      <alignment horizontal="left" vertical="center"/>
    </xf>
    <xf numFmtId="0" fontId="0" fillId="0" borderId="11" xfId="49" quotePrefix="1" applyFont="1" applyBorder="1" applyAlignment="1">
      <alignment horizontal="left" vertical="center"/>
    </xf>
    <xf numFmtId="0" fontId="0" fillId="0" borderId="11" xfId="49" applyFont="1" applyBorder="1" applyAlignment="1">
      <alignment horizontal="center" vertical="center" wrapText="1"/>
    </xf>
    <xf numFmtId="0" fontId="0" fillId="0" borderId="11" xfId="49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20" xfId="49" applyFont="1" applyBorder="1" applyAlignment="1">
      <alignment horizontal="left" vertical="center"/>
    </xf>
    <xf numFmtId="0" fontId="0" fillId="0" borderId="16" xfId="49" applyFont="1" applyBorder="1" applyAlignment="1">
      <alignment horizontal="left" vertical="center"/>
    </xf>
    <xf numFmtId="0" fontId="0" fillId="0" borderId="16" xfId="49" quotePrefix="1" applyFont="1" applyBorder="1" applyAlignment="1">
      <alignment horizontal="center" vertical="center"/>
    </xf>
    <xf numFmtId="0" fontId="0" fillId="0" borderId="20" xfId="49" applyFont="1" applyBorder="1" applyAlignment="1">
      <alignment horizontal="left" vertical="center" wrapText="1"/>
    </xf>
    <xf numFmtId="0" fontId="0" fillId="0" borderId="21" xfId="49" quotePrefix="1" applyFont="1" applyBorder="1" applyAlignment="1">
      <alignment horizontal="center" vertical="center"/>
    </xf>
    <xf numFmtId="0" fontId="12" fillId="26" borderId="11" xfId="49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top" wrapText="1"/>
    </xf>
    <xf numFmtId="0" fontId="55" fillId="0" borderId="11" xfId="0" applyFont="1" applyBorder="1" applyAlignment="1">
      <alignment horizontal="left" vertical="top" wrapText="1"/>
    </xf>
  </cellXfs>
  <cellStyles count="55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ハイパーリンク" xfId="54" builtinId="8"/>
    <cellStyle name="メモ" xfId="28" builtinId="10" customBuiltin="1"/>
    <cellStyle name="リンク セル" xfId="29" builtinId="24" customBuiltin="1"/>
    <cellStyle name="入力" xfId="42" builtinId="20" customBuiltin="1"/>
    <cellStyle name="出力" xfId="39" builtinId="21" customBuiltin="1"/>
    <cellStyle name="悪い" xfId="30" builtinId="27" customBuiltin="1"/>
    <cellStyle name="標準" xfId="0" builtinId="0" customBuiltin="1"/>
    <cellStyle name="標準 2" xfId="43" xr:uid="{00000000-0005-0000-0000-00002C000000}"/>
    <cellStyle name="標準 2 2" xfId="44" xr:uid="{00000000-0005-0000-0000-00002D000000}"/>
    <cellStyle name="標準 2_131121_SDS-02-001_画面設計書_Rev1" xfId="45" xr:uid="{00000000-0005-0000-0000-00002E000000}"/>
    <cellStyle name="標準 3" xfId="46" xr:uid="{00000000-0005-0000-0000-00002F000000}"/>
    <cellStyle name="標準 4" xfId="47" xr:uid="{00000000-0005-0000-0000-000030000000}"/>
    <cellStyle name="標準_030207B_P-TESTｼｽﾃﾑﾃｽﾄ書_ネットワーク構成_Rev0100_040130" xfId="48" xr:uid="{00000000-0005-0000-0000-000031000000}"/>
    <cellStyle name="標準_D_01_基本設計書_概要_R0100_B071004" xfId="49" xr:uid="{00000000-0005-0000-0000-000032000000}"/>
    <cellStyle name="標準_KREA-015_検査記録書Rev1.1" xfId="50" xr:uid="{00000000-0005-0000-0000-000033000000}"/>
    <cellStyle name="標準_SDS-03-001_帳票設計書Rev1_131003" xfId="53" xr:uid="{00000000-0005-0000-0000-000034000000}"/>
    <cellStyle name="良い" xfId="52" builtinId="26" customBuiltin="1"/>
    <cellStyle name="表見出し" xfId="51" xr:uid="{00000000-0005-0000-0000-000035000000}"/>
    <cellStyle name="見出し 1" xfId="33" builtinId="16" customBuiltin="1"/>
    <cellStyle name="見出し 2" xfId="34" builtinId="17" customBuiltin="1"/>
    <cellStyle name="見出し 3" xfId="35" builtinId="18" customBuiltin="1"/>
    <cellStyle name="見出し 4" xfId="36" builtinId="19" customBuiltin="1"/>
    <cellStyle name="見出し３" xfId="37" xr:uid="{00000000-0005-0000-0000-000025000000}"/>
    <cellStyle name="計算" xfId="31" builtinId="22" customBuiltin="1"/>
    <cellStyle name="説明文" xfId="40" builtinId="53" customBuiltin="1"/>
    <cellStyle name="警告文" xfId="32" builtinId="11" customBuiltin="1"/>
    <cellStyle name="通貨 2" xfId="41" xr:uid="{00000000-0005-0000-0000-000029000000}"/>
    <cellStyle name="集計" xfId="38" builtinId="25" customBuiltin="1"/>
  </cellStyles>
  <dxfs count="11">
    <dxf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indexed="9"/>
      </font>
    </dxf>
    <dxf>
      <font>
        <color theme="0"/>
      </font>
    </dxf>
    <dxf>
      <font>
        <color theme="0"/>
      </font>
      <border>
        <left/>
        <right/>
        <top/>
        <bottom/>
      </border>
    </dxf>
    <dxf>
      <font>
        <color indexed="9"/>
      </font>
    </dxf>
    <dxf>
      <font>
        <color indexed="9"/>
      </font>
    </dxf>
  </dxfs>
  <tableStyles count="0" defaultTableStyle="TableStyleMedium2" defaultPivotStyle="PivotStyleLight16"/>
  <colors>
    <mruColors>
      <color rgb="FFE0E0E0"/>
      <color rgb="FFCCE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18511704728497"/>
          <c:y val="4.0293040293040296E-2"/>
          <c:w val="0.75785398320537034"/>
          <c:h val="0.728156672723601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_集計表!$G$9</c:f>
              <c:strCache>
                <c:ptCount val="1"/>
                <c:pt idx="0">
                  <c:v>バグ数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[0]!\TOTAL\CheckList</c:f>
              <c:strCache>
                <c:ptCount val="6"/>
                <c:pt idx="0">
                  <c:v>入力</c:v>
                </c:pt>
                <c:pt idx="1">
                  <c:v>出力</c:v>
                </c:pt>
                <c:pt idx="2">
                  <c:v>EV</c:v>
                </c:pt>
                <c:pt idx="3">
                  <c:v>BL</c:v>
                </c:pt>
                <c:pt idx="4">
                  <c:v>DB</c:v>
                </c:pt>
                <c:pt idx="5">
                  <c:v>HW</c:v>
                </c:pt>
              </c:strCache>
            </c:strRef>
          </c:cat>
          <c:val>
            <c:numRef>
              <c:f>[0]!\TOTAL\BugArea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1-4027-ABCF-4B192299D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988624"/>
        <c:axId val="537989184"/>
      </c:barChart>
      <c:lineChart>
        <c:grouping val="standard"/>
        <c:varyColors val="0"/>
        <c:ser>
          <c:idx val="1"/>
          <c:order val="1"/>
          <c:tx>
            <c:strRef>
              <c:f>_集計表!$H$9</c:f>
              <c:strCache>
                <c:ptCount val="1"/>
                <c:pt idx="0">
                  <c:v>発生率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_集計表!$D$10:$D$15</c:f>
              <c:strCache>
                <c:ptCount val="6"/>
                <c:pt idx="0">
                  <c:v>入力</c:v>
                </c:pt>
                <c:pt idx="1">
                  <c:v>出力</c:v>
                </c:pt>
                <c:pt idx="2">
                  <c:v>EV</c:v>
                </c:pt>
                <c:pt idx="3">
                  <c:v>BL</c:v>
                </c:pt>
                <c:pt idx="4">
                  <c:v>DB</c:v>
                </c:pt>
                <c:pt idx="5">
                  <c:v>HW</c:v>
                </c:pt>
              </c:strCache>
            </c:strRef>
          </c:cat>
          <c:val>
            <c:numRef>
              <c:f>[0]!\TOTAL\Rate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01-4027-ABCF-4B192299D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989744"/>
        <c:axId val="537990304"/>
      </c:lineChart>
      <c:catAx>
        <c:axId val="53798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7989184"/>
        <c:crosses val="autoZero"/>
        <c:auto val="1"/>
        <c:lblAlgn val="ctr"/>
        <c:lblOffset val="100"/>
        <c:noMultiLvlLbl val="0"/>
      </c:catAx>
      <c:valAx>
        <c:axId val="537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バグ数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7988624"/>
        <c:crosses val="autoZero"/>
        <c:crossBetween val="between"/>
      </c:valAx>
      <c:catAx>
        <c:axId val="537989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990304"/>
        <c:crosses val="autoZero"/>
        <c:auto val="1"/>
        <c:lblAlgn val="ctr"/>
        <c:lblOffset val="100"/>
        <c:noMultiLvlLbl val="0"/>
      </c:catAx>
      <c:valAx>
        <c:axId val="537990304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発生率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7989744"/>
        <c:crosses val="max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4008307372793356"/>
          <c:y val="0.85500764327535983"/>
          <c:w val="0.12461059190031153"/>
          <c:h val="0.13247555594012286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CheckBox" fmlaLink="$L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B$1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Q$6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26</xdr:row>
          <xdr:rowOff>121920</xdr:rowOff>
        </xdr:from>
        <xdr:to>
          <xdr:col>12</xdr:col>
          <xdr:colOff>419100</xdr:colOff>
          <xdr:row>27</xdr:row>
          <xdr:rowOff>198120</xdr:rowOff>
        </xdr:to>
        <xdr:sp macro="" textlink="">
          <xdr:nvSpPr>
            <xdr:cNvPr id="27736" name="Check Box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0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確認欄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29</xdr:row>
          <xdr:rowOff>182880</xdr:rowOff>
        </xdr:from>
        <xdr:to>
          <xdr:col>12</xdr:col>
          <xdr:colOff>213360</xdr:colOff>
          <xdr:row>31</xdr:row>
          <xdr:rowOff>160020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0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タイトル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ナンバリング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63</xdr:col>
      <xdr:colOff>0</xdr:colOff>
      <xdr:row>4</xdr:row>
      <xdr:rowOff>9525</xdr:rowOff>
    </xdr:to>
    <xdr:grpSp>
      <xdr:nvGrpSpPr>
        <xdr:cNvPr id="1306880" name="グループ化 1">
          <a:extLst>
            <a:ext uri="{FF2B5EF4-FFF2-40B4-BE49-F238E27FC236}">
              <a16:creationId xmlns:a16="http://schemas.microsoft.com/office/drawing/2014/main" id="{00000000-0008-0000-0300-000000F11300}"/>
            </a:ext>
          </a:extLst>
        </xdr:cNvPr>
        <xdr:cNvGrpSpPr>
          <a:grpSpLocks/>
        </xdr:cNvGrpSpPr>
      </xdr:nvGrpSpPr>
      <xdr:grpSpPr bwMode="auto">
        <a:xfrm>
          <a:off x="44824" y="9525"/>
          <a:ext cx="9377082" cy="681318"/>
          <a:chOff x="52386" y="1714499"/>
          <a:chExt cx="10106027" cy="683421"/>
        </a:xfrm>
      </xdr:grpSpPr>
      <xdr:grpSp>
        <xdr:nvGrpSpPr>
          <xdr:cNvPr id="1306881" name="グループ化 15">
            <a:extLst>
              <a:ext uri="{FF2B5EF4-FFF2-40B4-BE49-F238E27FC236}">
                <a16:creationId xmlns:a16="http://schemas.microsoft.com/office/drawing/2014/main" id="{00000000-0008-0000-0300-000001F113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25" name="\HEAD\見出し2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3472747" y="2046718"/>
              <a:ext cx="3429482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/>
            </a:p>
          </xdr:txBody>
        </xdr:sp>
        <xdr:sp macro="" textlink="">
          <xdr:nvSpPr>
            <xdr:cNvPr id="26" name="\HEAD\見出し3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02229" y="2046718"/>
              <a:ext cx="3256184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/>
            </a:p>
          </xdr:txBody>
        </xdr:sp>
        <xdr:sp macro="" textlink="">
          <xdr:nvSpPr>
            <xdr:cNvPr id="27" name="\HEAD\見出し1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52386" y="2046718"/>
              <a:ext cx="342948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1.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適用</a:t>
              </a:r>
            </a:p>
          </xdr:txBody>
        </xdr:sp>
      </xdr:grpSp>
      <xdr:grpSp>
        <xdr:nvGrpSpPr>
          <xdr:cNvPr id="1306882" name="グループ化 16">
            <a:extLst>
              <a:ext uri="{FF2B5EF4-FFF2-40B4-BE49-F238E27FC236}">
                <a16:creationId xmlns:a16="http://schemas.microsoft.com/office/drawing/2014/main" id="{00000000-0008-0000-0300-000002F113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18" name="\HEAD\ドキュメント総称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1420530" y="1714499"/>
              <a:ext cx="308288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19" name="\HEAD\システム総称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4503416" y="1714499"/>
              <a:ext cx="2927829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20" name="\HEAD\最終発行版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7768721" y="1714499"/>
              <a:ext cx="68407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21" name="版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7431245" y="1714499"/>
              <a:ext cx="337476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22" name="\HEAD\最終発行日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8452793" y="1714499"/>
              <a:ext cx="857371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23" name="\HEAD\ドキュメントNO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52386" y="1714499"/>
              <a:ext cx="1368144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4" name="\HEAD\最終担当者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9310163" y="1714499"/>
              <a:ext cx="848250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63</xdr:col>
      <xdr:colOff>0</xdr:colOff>
      <xdr:row>4</xdr:row>
      <xdr:rowOff>9525</xdr:rowOff>
    </xdr:to>
    <xdr:grpSp>
      <xdr:nvGrpSpPr>
        <xdr:cNvPr id="1307904" name="グループ化 1">
          <a:extLst>
            <a:ext uri="{FF2B5EF4-FFF2-40B4-BE49-F238E27FC236}">
              <a16:creationId xmlns:a16="http://schemas.microsoft.com/office/drawing/2014/main" id="{00000000-0008-0000-0400-000000F51300}"/>
            </a:ext>
          </a:extLst>
        </xdr:cNvPr>
        <xdr:cNvGrpSpPr>
          <a:grpSpLocks/>
        </xdr:cNvGrpSpPr>
      </xdr:nvGrpSpPr>
      <xdr:grpSpPr bwMode="auto">
        <a:xfrm>
          <a:off x="44824" y="9525"/>
          <a:ext cx="9377082" cy="681318"/>
          <a:chOff x="52386" y="1714499"/>
          <a:chExt cx="10106027" cy="683421"/>
        </a:xfrm>
      </xdr:grpSpPr>
      <xdr:grpSp>
        <xdr:nvGrpSpPr>
          <xdr:cNvPr id="1307905" name="グループ化 15">
            <a:extLst>
              <a:ext uri="{FF2B5EF4-FFF2-40B4-BE49-F238E27FC236}">
                <a16:creationId xmlns:a16="http://schemas.microsoft.com/office/drawing/2014/main" id="{00000000-0008-0000-0400-000001F513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:cNvPr>
            <xdr:cNvSpPr txBox="1"/>
          </xdr:nvSpPr>
          <xdr:spPr>
            <a:xfrm>
              <a:off x="3472747" y="2046718"/>
              <a:ext cx="3429482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SpPr txBox="1"/>
          </xdr:nvSpPr>
          <xdr:spPr>
            <a:xfrm>
              <a:off x="6902229" y="2046718"/>
              <a:ext cx="3256184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52386" y="2046718"/>
              <a:ext cx="342948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2.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目的</a:t>
              </a:r>
              <a:endParaRPr kumimoji="1" lang="en-US" altLang="ja-JP" sz="11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1307906" name="グループ化 16">
            <a:extLst>
              <a:ext uri="{FF2B5EF4-FFF2-40B4-BE49-F238E27FC236}">
                <a16:creationId xmlns:a16="http://schemas.microsoft.com/office/drawing/2014/main" id="{00000000-0008-0000-0400-000002F513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420530" y="1714499"/>
              <a:ext cx="308288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4503416" y="1714499"/>
              <a:ext cx="2927829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7768721" y="1714499"/>
              <a:ext cx="68407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7431245" y="1714499"/>
              <a:ext cx="337476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8452793" y="1714499"/>
              <a:ext cx="857371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52386" y="1714499"/>
              <a:ext cx="1368144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 txBox="1"/>
          </xdr:nvSpPr>
          <xdr:spPr>
            <a:xfrm>
              <a:off x="9310163" y="1714499"/>
              <a:ext cx="848250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63</xdr:col>
      <xdr:colOff>0</xdr:colOff>
      <xdr:row>4</xdr:row>
      <xdr:rowOff>9525</xdr:rowOff>
    </xdr:to>
    <xdr:grpSp>
      <xdr:nvGrpSpPr>
        <xdr:cNvPr id="1308928" name="グループ化 1">
          <a:extLst>
            <a:ext uri="{FF2B5EF4-FFF2-40B4-BE49-F238E27FC236}">
              <a16:creationId xmlns:a16="http://schemas.microsoft.com/office/drawing/2014/main" id="{00000000-0008-0000-0500-000000F91300}"/>
            </a:ext>
          </a:extLst>
        </xdr:cNvPr>
        <xdr:cNvGrpSpPr>
          <a:grpSpLocks/>
        </xdr:cNvGrpSpPr>
      </xdr:nvGrpSpPr>
      <xdr:grpSpPr bwMode="auto">
        <a:xfrm>
          <a:off x="44824" y="9525"/>
          <a:ext cx="9377082" cy="681318"/>
          <a:chOff x="52386" y="1714499"/>
          <a:chExt cx="10106027" cy="683421"/>
        </a:xfrm>
      </xdr:grpSpPr>
      <xdr:grpSp>
        <xdr:nvGrpSpPr>
          <xdr:cNvPr id="1308929" name="グループ化 15">
            <a:extLst>
              <a:ext uri="{FF2B5EF4-FFF2-40B4-BE49-F238E27FC236}">
                <a16:creationId xmlns:a16="http://schemas.microsoft.com/office/drawing/2014/main" id="{00000000-0008-0000-0500-000001F913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3472747" y="2046718"/>
              <a:ext cx="3429482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 txBox="1"/>
          </xdr:nvSpPr>
          <xdr:spPr>
            <a:xfrm>
              <a:off x="6902229" y="2046718"/>
              <a:ext cx="3256184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 txBox="1"/>
          </xdr:nvSpPr>
          <xdr:spPr>
            <a:xfrm>
              <a:off x="52386" y="2046718"/>
              <a:ext cx="342948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3.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実施範囲</a:t>
              </a:r>
              <a:endParaRPr kumimoji="1" lang="en-US" altLang="ja-JP" sz="11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1308930" name="グループ化 16">
            <a:extLst>
              <a:ext uri="{FF2B5EF4-FFF2-40B4-BE49-F238E27FC236}">
                <a16:creationId xmlns:a16="http://schemas.microsoft.com/office/drawing/2014/main" id="{00000000-0008-0000-0500-000002F913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1420530" y="1714499"/>
              <a:ext cx="308288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4503416" y="1714499"/>
              <a:ext cx="2927829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7768721" y="1714499"/>
              <a:ext cx="68407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7431245" y="1714499"/>
              <a:ext cx="337476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8452793" y="1714499"/>
              <a:ext cx="857371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52386" y="1714499"/>
              <a:ext cx="1368144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310163" y="1714499"/>
              <a:ext cx="848250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63</xdr:col>
      <xdr:colOff>0</xdr:colOff>
      <xdr:row>4</xdr:row>
      <xdr:rowOff>9525</xdr:rowOff>
    </xdr:to>
    <xdr:grpSp>
      <xdr:nvGrpSpPr>
        <xdr:cNvPr id="1309952" name="グループ化 1">
          <a:extLst>
            <a:ext uri="{FF2B5EF4-FFF2-40B4-BE49-F238E27FC236}">
              <a16:creationId xmlns:a16="http://schemas.microsoft.com/office/drawing/2014/main" id="{00000000-0008-0000-0600-000000FD1300}"/>
            </a:ext>
          </a:extLst>
        </xdr:cNvPr>
        <xdr:cNvGrpSpPr>
          <a:grpSpLocks/>
        </xdr:cNvGrpSpPr>
      </xdr:nvGrpSpPr>
      <xdr:grpSpPr bwMode="auto">
        <a:xfrm>
          <a:off x="44824" y="9525"/>
          <a:ext cx="9377082" cy="681318"/>
          <a:chOff x="52386" y="1714499"/>
          <a:chExt cx="10106027" cy="683421"/>
        </a:xfrm>
      </xdr:grpSpPr>
      <xdr:grpSp>
        <xdr:nvGrpSpPr>
          <xdr:cNvPr id="1309953" name="グループ化 15">
            <a:extLst>
              <a:ext uri="{FF2B5EF4-FFF2-40B4-BE49-F238E27FC236}">
                <a16:creationId xmlns:a16="http://schemas.microsoft.com/office/drawing/2014/main" id="{00000000-0008-0000-0600-000001FD13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SpPr txBox="1"/>
          </xdr:nvSpPr>
          <xdr:spPr>
            <a:xfrm>
              <a:off x="3472747" y="2046718"/>
              <a:ext cx="3429482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:cNvPr>
            <xdr:cNvSpPr txBox="1"/>
          </xdr:nvSpPr>
          <xdr:spPr>
            <a:xfrm>
              <a:off x="6902229" y="2046718"/>
              <a:ext cx="3256184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SpPr txBox="1"/>
          </xdr:nvSpPr>
          <xdr:spPr>
            <a:xfrm>
              <a:off x="52386" y="2046718"/>
              <a:ext cx="342948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4.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実施計画</a:t>
              </a:r>
              <a:endParaRPr kumimoji="1" lang="en-US" altLang="ja-JP" sz="11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1309954" name="グループ化 16">
            <a:extLst>
              <a:ext uri="{FF2B5EF4-FFF2-40B4-BE49-F238E27FC236}">
                <a16:creationId xmlns:a16="http://schemas.microsoft.com/office/drawing/2014/main" id="{00000000-0008-0000-0600-000002FD13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1420530" y="1714499"/>
              <a:ext cx="308288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SpPr txBox="1"/>
          </xdr:nvSpPr>
          <xdr:spPr>
            <a:xfrm>
              <a:off x="4503416" y="1714499"/>
              <a:ext cx="2927829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SpPr txBox="1"/>
          </xdr:nvSpPr>
          <xdr:spPr>
            <a:xfrm>
              <a:off x="7768721" y="1714499"/>
              <a:ext cx="68407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 txBox="1"/>
          </xdr:nvSpPr>
          <xdr:spPr>
            <a:xfrm>
              <a:off x="7431245" y="1714499"/>
              <a:ext cx="337476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 txBox="1"/>
          </xdr:nvSpPr>
          <xdr:spPr>
            <a:xfrm>
              <a:off x="8452793" y="1714499"/>
              <a:ext cx="857371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 txBox="1"/>
          </xdr:nvSpPr>
          <xdr:spPr>
            <a:xfrm>
              <a:off x="52386" y="1714499"/>
              <a:ext cx="1368144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SpPr txBox="1"/>
          </xdr:nvSpPr>
          <xdr:spPr>
            <a:xfrm>
              <a:off x="9310163" y="1714499"/>
              <a:ext cx="848250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63</xdr:col>
      <xdr:colOff>0</xdr:colOff>
      <xdr:row>4</xdr:row>
      <xdr:rowOff>9525</xdr:rowOff>
    </xdr:to>
    <xdr:grpSp>
      <xdr:nvGrpSpPr>
        <xdr:cNvPr id="1245163" name="グループ化 1">
          <a:extLst>
            <a:ext uri="{FF2B5EF4-FFF2-40B4-BE49-F238E27FC236}">
              <a16:creationId xmlns:a16="http://schemas.microsoft.com/office/drawing/2014/main" id="{00000000-0008-0000-0700-0000EBFF1200}"/>
            </a:ext>
          </a:extLst>
        </xdr:cNvPr>
        <xdr:cNvGrpSpPr>
          <a:grpSpLocks/>
        </xdr:cNvGrpSpPr>
      </xdr:nvGrpSpPr>
      <xdr:grpSpPr bwMode="auto">
        <a:xfrm>
          <a:off x="44824" y="9525"/>
          <a:ext cx="9377082" cy="681318"/>
          <a:chOff x="52386" y="1714499"/>
          <a:chExt cx="10106027" cy="683421"/>
        </a:xfrm>
      </xdr:grpSpPr>
      <xdr:grpSp>
        <xdr:nvGrpSpPr>
          <xdr:cNvPr id="1245164" name="グループ化 15">
            <a:extLst>
              <a:ext uri="{FF2B5EF4-FFF2-40B4-BE49-F238E27FC236}">
                <a16:creationId xmlns:a16="http://schemas.microsoft.com/office/drawing/2014/main" id="{00000000-0008-0000-0700-0000ECFF12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 txBox="1"/>
          </xdr:nvSpPr>
          <xdr:spPr>
            <a:xfrm>
              <a:off x="3472747" y="2046718"/>
              <a:ext cx="3429482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 txBox="1"/>
          </xdr:nvSpPr>
          <xdr:spPr>
            <a:xfrm>
              <a:off x="6902229" y="2046718"/>
              <a:ext cx="3256184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 txBox="1"/>
          </xdr:nvSpPr>
          <xdr:spPr>
            <a:xfrm>
              <a:off x="52386" y="2046718"/>
              <a:ext cx="342948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5.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実施環境</a:t>
              </a:r>
              <a:endParaRPr kumimoji="1" lang="en-US" altLang="ja-JP" sz="11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1245165" name="グループ化 16">
            <a:extLst>
              <a:ext uri="{FF2B5EF4-FFF2-40B4-BE49-F238E27FC236}">
                <a16:creationId xmlns:a16="http://schemas.microsoft.com/office/drawing/2014/main" id="{00000000-0008-0000-0700-0000EDFF12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 txBox="1"/>
          </xdr:nvSpPr>
          <xdr:spPr>
            <a:xfrm>
              <a:off x="1420530" y="1714499"/>
              <a:ext cx="308288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 txBox="1"/>
          </xdr:nvSpPr>
          <xdr:spPr>
            <a:xfrm>
              <a:off x="4503416" y="1714499"/>
              <a:ext cx="2927829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 txBox="1"/>
          </xdr:nvSpPr>
          <xdr:spPr>
            <a:xfrm>
              <a:off x="7768721" y="1714499"/>
              <a:ext cx="68407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 txBox="1"/>
          </xdr:nvSpPr>
          <xdr:spPr>
            <a:xfrm>
              <a:off x="7431245" y="1714499"/>
              <a:ext cx="337476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 txBox="1"/>
          </xdr:nvSpPr>
          <xdr:spPr>
            <a:xfrm>
              <a:off x="8452793" y="1714499"/>
              <a:ext cx="857371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 txBox="1"/>
          </xdr:nvSpPr>
          <xdr:spPr>
            <a:xfrm>
              <a:off x="52386" y="1714499"/>
              <a:ext cx="1368144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 txBox="1"/>
          </xdr:nvSpPr>
          <xdr:spPr>
            <a:xfrm>
              <a:off x="9310163" y="1714499"/>
              <a:ext cx="848250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63</xdr:col>
      <xdr:colOff>0</xdr:colOff>
      <xdr:row>4</xdr:row>
      <xdr:rowOff>9525</xdr:rowOff>
    </xdr:to>
    <xdr:grpSp>
      <xdr:nvGrpSpPr>
        <xdr:cNvPr id="1310976" name="グループ化 1">
          <a:extLst>
            <a:ext uri="{FF2B5EF4-FFF2-40B4-BE49-F238E27FC236}">
              <a16:creationId xmlns:a16="http://schemas.microsoft.com/office/drawing/2014/main" id="{00000000-0008-0000-0800-000000011400}"/>
            </a:ext>
          </a:extLst>
        </xdr:cNvPr>
        <xdr:cNvGrpSpPr>
          <a:grpSpLocks/>
        </xdr:cNvGrpSpPr>
      </xdr:nvGrpSpPr>
      <xdr:grpSpPr bwMode="auto">
        <a:xfrm>
          <a:off x="44824" y="9525"/>
          <a:ext cx="9377082" cy="681318"/>
          <a:chOff x="52386" y="1714499"/>
          <a:chExt cx="10106027" cy="683421"/>
        </a:xfrm>
      </xdr:grpSpPr>
      <xdr:grpSp>
        <xdr:nvGrpSpPr>
          <xdr:cNvPr id="1310977" name="グループ化 15">
            <a:extLst>
              <a:ext uri="{FF2B5EF4-FFF2-40B4-BE49-F238E27FC236}">
                <a16:creationId xmlns:a16="http://schemas.microsoft.com/office/drawing/2014/main" id="{00000000-0008-0000-0800-0000010114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SpPr txBox="1"/>
          </xdr:nvSpPr>
          <xdr:spPr>
            <a:xfrm>
              <a:off x="3472747" y="2046718"/>
              <a:ext cx="3429482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SpPr txBox="1"/>
          </xdr:nvSpPr>
          <xdr:spPr>
            <a:xfrm>
              <a:off x="6902229" y="2046718"/>
              <a:ext cx="3256184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:cNvPr>
            <xdr:cNvSpPr txBox="1"/>
          </xdr:nvSpPr>
          <xdr:spPr>
            <a:xfrm>
              <a:off x="52386" y="2046718"/>
              <a:ext cx="342948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6.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検査基準</a:t>
              </a:r>
              <a:endParaRPr kumimoji="1" lang="en-US" altLang="ja-JP" sz="11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1310978" name="グループ化 16">
            <a:extLst>
              <a:ext uri="{FF2B5EF4-FFF2-40B4-BE49-F238E27FC236}">
                <a16:creationId xmlns:a16="http://schemas.microsoft.com/office/drawing/2014/main" id="{00000000-0008-0000-0800-0000020114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1420530" y="1714499"/>
              <a:ext cx="308288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 txBox="1"/>
          </xdr:nvSpPr>
          <xdr:spPr>
            <a:xfrm>
              <a:off x="4503416" y="1714499"/>
              <a:ext cx="2927829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7768721" y="1714499"/>
              <a:ext cx="68407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 txBox="1"/>
          </xdr:nvSpPr>
          <xdr:spPr>
            <a:xfrm>
              <a:off x="7431245" y="1714499"/>
              <a:ext cx="337476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 txBox="1"/>
          </xdr:nvSpPr>
          <xdr:spPr>
            <a:xfrm>
              <a:off x="8452793" y="1714499"/>
              <a:ext cx="857371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 txBox="1"/>
          </xdr:nvSpPr>
          <xdr:spPr>
            <a:xfrm>
              <a:off x="52386" y="1714499"/>
              <a:ext cx="1368144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:cNvPr>
            <xdr:cNvSpPr txBox="1"/>
          </xdr:nvSpPr>
          <xdr:spPr>
            <a:xfrm>
              <a:off x="9310163" y="1714499"/>
              <a:ext cx="848250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15</xdr:col>
      <xdr:colOff>126124</xdr:colOff>
      <xdr:row>4</xdr:row>
      <xdr:rowOff>5433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/>
        </xdr:cNvGrpSpPr>
      </xdr:nvGrpSpPr>
      <xdr:grpSpPr bwMode="auto">
        <a:xfrm>
          <a:off x="47297" y="9525"/>
          <a:ext cx="9306910" cy="668570"/>
          <a:chOff x="52386" y="1714499"/>
          <a:chExt cx="9980832" cy="683421"/>
        </a:xfrm>
      </xdr:grpSpPr>
      <xdr:grpSp>
        <xdr:nvGrpSpPr>
          <xdr:cNvPr id="3" name="グループ化 15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GrpSpPr>
            <a:grpSpLocks/>
          </xdr:cNvGrpSpPr>
        </xdr:nvGrpSpPr>
        <xdr:grpSpPr bwMode="auto">
          <a:xfrm>
            <a:off x="52386" y="2046718"/>
            <a:ext cx="9980832" cy="351202"/>
            <a:chOff x="52386" y="2046718"/>
            <a:chExt cx="9980832" cy="351202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900-00000C000000}"/>
                </a:ext>
              </a:extLst>
            </xdr:cNvPr>
            <xdr:cNvSpPr txBox="1"/>
          </xdr:nvSpPr>
          <xdr:spPr>
            <a:xfrm>
              <a:off x="3469795" y="2046718"/>
              <a:ext cx="3435684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7-1.○○○</a:t>
              </a:r>
              <a:endParaRPr lang="ja-JP" altLang="ja-JP">
                <a:effectLst/>
              </a:endParaRPr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900-00000D000000}"/>
                </a:ext>
              </a:extLst>
            </xdr:cNvPr>
            <xdr:cNvSpPr txBox="1"/>
          </xdr:nvSpPr>
          <xdr:spPr>
            <a:xfrm>
              <a:off x="6905478" y="2046718"/>
              <a:ext cx="3127740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lang="en-US" altLang="ja-JP" b="1"/>
                <a:t>7-1-1.</a:t>
              </a:r>
              <a:r>
                <a:rPr lang="ja-JP" altLang="en-US" b="1"/>
                <a:t>テスト</a:t>
              </a:r>
              <a:r>
                <a:rPr lang="en-US" altLang="ja-JP" b="1"/>
                <a:t>(1)</a:t>
              </a:r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 txBox="1"/>
          </xdr:nvSpPr>
          <xdr:spPr>
            <a:xfrm>
              <a:off x="52386" y="2046718"/>
              <a:ext cx="3426546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7.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検査手順</a:t>
              </a:r>
              <a:endParaRPr kumimoji="1" lang="en-US" altLang="ja-JP" sz="11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4" name="グループ化 16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>
            <a:grpSpLocks/>
          </xdr:cNvGrpSpPr>
        </xdr:nvGrpSpPr>
        <xdr:grpSpPr bwMode="auto">
          <a:xfrm>
            <a:off x="52386" y="1714499"/>
            <a:ext cx="9980831" cy="341711"/>
            <a:chOff x="52386" y="1714499"/>
            <a:chExt cx="9980831" cy="341711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SpPr txBox="1"/>
          </xdr:nvSpPr>
          <xdr:spPr>
            <a:xfrm>
              <a:off x="1423004" y="1714499"/>
              <a:ext cx="3079323" cy="341711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SpPr txBox="1"/>
          </xdr:nvSpPr>
          <xdr:spPr>
            <a:xfrm>
              <a:off x="4502327" y="1714499"/>
              <a:ext cx="2933124" cy="341711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SpPr txBox="1"/>
          </xdr:nvSpPr>
          <xdr:spPr>
            <a:xfrm>
              <a:off x="7773537" y="1714499"/>
              <a:ext cx="685309" cy="341711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 txBox="1"/>
          </xdr:nvSpPr>
          <xdr:spPr>
            <a:xfrm>
              <a:off x="7435451" y="1714499"/>
              <a:ext cx="338086" cy="341711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 txBox="1"/>
          </xdr:nvSpPr>
          <xdr:spPr>
            <a:xfrm>
              <a:off x="8458846" y="1714499"/>
              <a:ext cx="849783" cy="341711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900-00000A000000}"/>
                </a:ext>
              </a:extLst>
            </xdr:cNvPr>
            <xdr:cNvSpPr txBox="1"/>
          </xdr:nvSpPr>
          <xdr:spPr>
            <a:xfrm>
              <a:off x="52386" y="1714499"/>
              <a:ext cx="1370618" cy="341711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SpPr txBox="1"/>
          </xdr:nvSpPr>
          <xdr:spPr>
            <a:xfrm>
              <a:off x="9308629" y="1714499"/>
              <a:ext cx="724588" cy="341711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144780</xdr:colOff>
          <xdr:row>0</xdr:row>
          <xdr:rowOff>45720</xdr:rowOff>
        </xdr:from>
        <xdr:to>
          <xdr:col>34</xdr:col>
          <xdr:colOff>121920</xdr:colOff>
          <xdr:row>1</xdr:row>
          <xdr:rowOff>106680</xdr:rowOff>
        </xdr:to>
        <xdr:sp macro="" textlink="">
          <xdr:nvSpPr>
            <xdr:cNvPr id="1184769" name="Check Box 1" descr="集計対象" hidden="1">
              <a:extLst>
                <a:ext uri="{63B3BB69-23CF-44E3-9099-C40C66FF867C}">
                  <a14:compatExt spid="_x0000_s1184769"/>
                </a:ext>
                <a:ext uri="{FF2B5EF4-FFF2-40B4-BE49-F238E27FC236}">
                  <a16:creationId xmlns:a16="http://schemas.microsoft.com/office/drawing/2014/main" id="{00000000-0008-0000-0900-0000011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集計対象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0</xdr:rowOff>
        </xdr:from>
        <xdr:to>
          <xdr:col>20</xdr:col>
          <xdr:colOff>259080</xdr:colOff>
          <xdr:row>2</xdr:row>
          <xdr:rowOff>0</xdr:rowOff>
        </xdr:to>
        <xdr:sp macro="" textlink="">
          <xdr:nvSpPr>
            <xdr:cNvPr id="1185035" name="Button 267" descr="自動調整（全てのシート）" hidden="1">
              <a:extLst>
                <a:ext uri="{63B3BB69-23CF-44E3-9099-C40C66FF867C}">
                  <a14:compatExt spid="_x0000_s1185035"/>
                </a:ext>
                <a:ext uri="{FF2B5EF4-FFF2-40B4-BE49-F238E27FC236}">
                  <a16:creationId xmlns:a16="http://schemas.microsoft.com/office/drawing/2014/main" id="{00000000-0008-0000-0900-00000B15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0" rIns="90000" bIns="1080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自動調整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（全ての検査手順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106680</xdr:colOff>
          <xdr:row>0</xdr:row>
          <xdr:rowOff>7620</xdr:rowOff>
        </xdr:from>
        <xdr:to>
          <xdr:col>28</xdr:col>
          <xdr:colOff>152400</xdr:colOff>
          <xdr:row>1</xdr:row>
          <xdr:rowOff>160020</xdr:rowOff>
        </xdr:to>
        <xdr:sp macro="" textlink="">
          <xdr:nvSpPr>
            <xdr:cNvPr id="1185036" name="Button 268" hidden="1">
              <a:extLst>
                <a:ext uri="{63B3BB69-23CF-44E3-9099-C40C66FF867C}">
                  <a14:compatExt spid="_x0000_s1185036"/>
                </a:ext>
                <a:ext uri="{FF2B5EF4-FFF2-40B4-BE49-F238E27FC236}">
                  <a16:creationId xmlns:a16="http://schemas.microsoft.com/office/drawing/2014/main" id="{00000000-0008-0000-0900-00000C15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312420</xdr:colOff>
          <xdr:row>0</xdr:row>
          <xdr:rowOff>0</xdr:rowOff>
        </xdr:from>
        <xdr:to>
          <xdr:col>24</xdr:col>
          <xdr:colOff>45720</xdr:colOff>
          <xdr:row>2</xdr:row>
          <xdr:rowOff>0</xdr:rowOff>
        </xdr:to>
        <xdr:sp macro="" textlink="">
          <xdr:nvSpPr>
            <xdr:cNvPr id="1185041" name="Button 267" descr="自動調整（このシートのみ）" hidden="1">
              <a:extLst>
                <a:ext uri="{63B3BB69-23CF-44E3-9099-C40C66FF867C}">
                  <a14:compatExt spid="_x0000_s1185041"/>
                </a:ext>
                <a:ext uri="{FF2B5EF4-FFF2-40B4-BE49-F238E27FC236}">
                  <a16:creationId xmlns:a16="http://schemas.microsoft.com/office/drawing/2014/main" id="{00000000-0008-0000-0900-00001115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0" rIns="90000" bIns="1080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自動調整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（このシートだけ）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9525</xdr:rowOff>
    </xdr:from>
    <xdr:to>
      <xdr:col>14</xdr:col>
      <xdr:colOff>6465</xdr:colOff>
      <xdr:row>4</xdr:row>
      <xdr:rowOff>9525</xdr:rowOff>
    </xdr:to>
    <xdr:grpSp>
      <xdr:nvGrpSpPr>
        <xdr:cNvPr id="1312001" name="グループ化 1">
          <a:extLst>
            <a:ext uri="{FF2B5EF4-FFF2-40B4-BE49-F238E27FC236}">
              <a16:creationId xmlns:a16="http://schemas.microsoft.com/office/drawing/2014/main" id="{00000000-0008-0000-0A00-000001051400}"/>
            </a:ext>
          </a:extLst>
        </xdr:cNvPr>
        <xdr:cNvGrpSpPr>
          <a:grpSpLocks/>
        </xdr:cNvGrpSpPr>
      </xdr:nvGrpSpPr>
      <xdr:grpSpPr bwMode="auto">
        <a:xfrm>
          <a:off x="44824" y="9525"/>
          <a:ext cx="9482159" cy="681318"/>
          <a:chOff x="52386" y="1714499"/>
          <a:chExt cx="10106027" cy="683421"/>
        </a:xfrm>
      </xdr:grpSpPr>
      <xdr:grpSp>
        <xdr:nvGrpSpPr>
          <xdr:cNvPr id="1312002" name="グループ化 15">
            <a:extLst>
              <a:ext uri="{FF2B5EF4-FFF2-40B4-BE49-F238E27FC236}">
                <a16:creationId xmlns:a16="http://schemas.microsoft.com/office/drawing/2014/main" id="{00000000-0008-0000-0A00-000002051400}"/>
              </a:ext>
            </a:extLst>
          </xdr:cNvPr>
          <xdr:cNvGrpSpPr>
            <a:grpSpLocks/>
          </xdr:cNvGrpSpPr>
        </xdr:nvGrpSpPr>
        <xdr:grpSpPr bwMode="auto">
          <a:xfrm>
            <a:off x="52386" y="2046718"/>
            <a:ext cx="10106027" cy="351202"/>
            <a:chOff x="52386" y="2046718"/>
            <a:chExt cx="10106027" cy="351202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 txBox="1"/>
          </xdr:nvSpPr>
          <xdr:spPr>
            <a:xfrm>
              <a:off x="3478932" y="2046718"/>
              <a:ext cx="3417409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ja-JP" b="1">
                <a:effectLst/>
              </a:endParaRPr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 txBox="1"/>
          </xdr:nvSpPr>
          <xdr:spPr>
            <a:xfrm>
              <a:off x="6896341" y="2046718"/>
              <a:ext cx="3262072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 b="1"/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A00-00000E000000}"/>
                </a:ext>
              </a:extLst>
            </xdr:cNvPr>
            <xdr:cNvSpPr txBox="1"/>
          </xdr:nvSpPr>
          <xdr:spPr>
            <a:xfrm>
              <a:off x="52386" y="2046718"/>
              <a:ext cx="3435684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ysClr val="windowText" lastClr="000000"/>
                  </a:solidFill>
                </a:rPr>
                <a:t>8.</a:t>
              </a:r>
              <a:r>
                <a:rPr kumimoji="1" lang="ja-JP" altLang="en-US" sz="1100" b="1">
                  <a:solidFill>
                    <a:sysClr val="windowText" lastClr="000000"/>
                  </a:solidFill>
                </a:rPr>
                <a:t>検査記録</a:t>
              </a:r>
              <a:endParaRPr kumimoji="1" lang="en-US" altLang="ja-JP" sz="11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1312003" name="グループ化 16">
            <a:extLst>
              <a:ext uri="{FF2B5EF4-FFF2-40B4-BE49-F238E27FC236}">
                <a16:creationId xmlns:a16="http://schemas.microsoft.com/office/drawing/2014/main" id="{00000000-0008-0000-0A00-0000030514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 txBox="1"/>
          </xdr:nvSpPr>
          <xdr:spPr>
            <a:xfrm>
              <a:off x="1423005" y="1714499"/>
              <a:ext cx="3079323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社内検査記録書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 txBox="1"/>
          </xdr:nvSpPr>
          <xdr:spPr>
            <a:xfrm>
              <a:off x="4502327" y="1714499"/>
              <a:ext cx="2933124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○○○○システム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7773537" y="1714499"/>
              <a:ext cx="67617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01,00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 txBox="1"/>
          </xdr:nvSpPr>
          <xdr:spPr>
            <a:xfrm>
              <a:off x="7435451" y="1714499"/>
              <a:ext cx="338086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 txBox="1"/>
          </xdr:nvSpPr>
          <xdr:spPr>
            <a:xfrm>
              <a:off x="8449709" y="1714499"/>
              <a:ext cx="868058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2019/01/01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 txBox="1"/>
          </xdr:nvSpPr>
          <xdr:spPr>
            <a:xfrm>
              <a:off x="52386" y="1714499"/>
              <a:ext cx="1370618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TPD-04-001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 txBox="1"/>
          </xdr:nvSpPr>
          <xdr:spPr>
            <a:xfrm>
              <a:off x="9317767" y="1714499"/>
              <a:ext cx="840646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ctr" rtl="0">
                <a:defRPr sz="1000"/>
              </a:pPr>
              <a:r>
                <a:rPr lang="en-US" altLang="ja-JP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-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0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1165253" name="Button 3013" descr="転記" hidden="1">
              <a:extLst>
                <a:ext uri="{63B3BB69-23CF-44E3-9099-C40C66FF867C}">
                  <a14:compatExt spid="_x0000_s1165253"/>
                </a:ext>
                <a:ext uri="{FF2B5EF4-FFF2-40B4-BE49-F238E27FC236}">
                  <a16:creationId xmlns:a16="http://schemas.microsoft.com/office/drawing/2014/main" id="{00000000-0008-0000-0A00-0000C5C7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再リンク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106680</xdr:colOff>
          <xdr:row>5</xdr:row>
          <xdr:rowOff>7620</xdr:rowOff>
        </xdr:from>
        <xdr:to>
          <xdr:col>16</xdr:col>
          <xdr:colOff>480060</xdr:colOff>
          <xdr:row>5</xdr:row>
          <xdr:rowOff>236220</xdr:rowOff>
        </xdr:to>
        <xdr:sp macro="" textlink="">
          <xdr:nvSpPr>
            <xdr:cNvPr id="1165286" name="Check Box 3046" hidden="1">
              <a:extLst>
                <a:ext uri="{63B3BB69-23CF-44E3-9099-C40C66FF867C}">
                  <a14:compatExt spid="_x0000_s1165286"/>
                </a:ext>
                <a:ext uri="{FF2B5EF4-FFF2-40B4-BE49-F238E27FC236}">
                  <a16:creationId xmlns:a16="http://schemas.microsoft.com/office/drawing/2014/main" id="{00000000-0008-0000-0A00-0000E6C7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手書き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</xdr:colOff>
          <xdr:row>0</xdr:row>
          <xdr:rowOff>0</xdr:rowOff>
        </xdr:from>
        <xdr:to>
          <xdr:col>16</xdr:col>
          <xdr:colOff>563880</xdr:colOff>
          <xdr:row>2</xdr:row>
          <xdr:rowOff>0</xdr:rowOff>
        </xdr:to>
        <xdr:sp macro="" textlink="">
          <xdr:nvSpPr>
            <xdr:cNvPr id="1165305" name="Button 3065" descr="転記" hidden="1">
              <a:extLst>
                <a:ext uri="{63B3BB69-23CF-44E3-9099-C40C66FF867C}">
                  <a14:compatExt spid="_x0000_s1165305"/>
                </a:ext>
                <a:ext uri="{FF2B5EF4-FFF2-40B4-BE49-F238E27FC236}">
                  <a16:creationId xmlns:a16="http://schemas.microsoft.com/office/drawing/2014/main" id="{00000000-0008-0000-0A00-0000F9C7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0</xdr:row>
          <xdr:rowOff>0</xdr:rowOff>
        </xdr:from>
        <xdr:to>
          <xdr:col>19</xdr:col>
          <xdr:colOff>838200</xdr:colOff>
          <xdr:row>2</xdr:row>
          <xdr:rowOff>7620</xdr:rowOff>
        </xdr:to>
        <xdr:sp macro="" textlink="">
          <xdr:nvSpPr>
            <xdr:cNvPr id="1165311" name="Button 3071" hidden="1">
              <a:extLst>
                <a:ext uri="{63B3BB69-23CF-44E3-9099-C40C66FF867C}">
                  <a14:compatExt spid="_x0000_s1165311"/>
                </a:ext>
                <a:ext uri="{FF2B5EF4-FFF2-40B4-BE49-F238E27FC236}">
                  <a16:creationId xmlns:a16="http://schemas.microsoft.com/office/drawing/2014/main" id="{00000000-0008-0000-0A00-0000FFC7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自動調整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594360</xdr:colOff>
          <xdr:row>1</xdr:row>
          <xdr:rowOff>22860</xdr:rowOff>
        </xdr:from>
        <xdr:to>
          <xdr:col>18</xdr:col>
          <xdr:colOff>7620</xdr:colOff>
          <xdr:row>3</xdr:row>
          <xdr:rowOff>68580</xdr:rowOff>
        </xdr:to>
        <xdr:sp macro="" textlink="">
          <xdr:nvSpPr>
            <xdr:cNvPr id="1144833" name="Button 1" hidden="1">
              <a:extLst>
                <a:ext uri="{63B3BB69-23CF-44E3-9099-C40C66FF867C}">
                  <a14:compatExt spid="_x0000_s1144833"/>
                </a:ext>
                <a:ext uri="{FF2B5EF4-FFF2-40B4-BE49-F238E27FC236}">
                  <a16:creationId xmlns:a16="http://schemas.microsoft.com/office/drawing/2014/main" id="{00000000-0008-0000-0B00-0000017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9523</xdr:colOff>
      <xdr:row>19</xdr:row>
      <xdr:rowOff>0</xdr:rowOff>
    </xdr:from>
    <xdr:to>
      <xdr:col>10</xdr:col>
      <xdr:colOff>537881</xdr:colOff>
      <xdr:row>41</xdr:row>
      <xdr:rowOff>114300</xdr:rowOff>
    </xdr:to>
    <xdr:graphicFrame macro="">
      <xdr:nvGraphicFramePr>
        <xdr:cNvPr id="1144971" name="グラフ 6">
          <a:extLst>
            <a:ext uri="{FF2B5EF4-FFF2-40B4-BE49-F238E27FC236}">
              <a16:creationId xmlns:a16="http://schemas.microsoft.com/office/drawing/2014/main" id="{00000000-0008-0000-0B00-00008B78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9525</xdr:rowOff>
    </xdr:from>
    <xdr:to>
      <xdr:col>60</xdr:col>
      <xdr:colOff>0</xdr:colOff>
      <xdr:row>4</xdr:row>
      <xdr:rowOff>9525</xdr:rowOff>
    </xdr:to>
    <xdr:grpSp>
      <xdr:nvGrpSpPr>
        <xdr:cNvPr id="1314048" name="グループ化 1">
          <a:extLst>
            <a:ext uri="{FF2B5EF4-FFF2-40B4-BE49-F238E27FC236}">
              <a16:creationId xmlns:a16="http://schemas.microsoft.com/office/drawing/2014/main" id="{00000000-0008-0000-0C00-0000000D1400}"/>
            </a:ext>
          </a:extLst>
        </xdr:cNvPr>
        <xdr:cNvGrpSpPr>
          <a:grpSpLocks/>
        </xdr:cNvGrpSpPr>
      </xdr:nvGrpSpPr>
      <xdr:grpSpPr bwMode="auto">
        <a:xfrm>
          <a:off x="45720" y="9525"/>
          <a:ext cx="9890760" cy="670560"/>
          <a:chOff x="52386" y="1714499"/>
          <a:chExt cx="10106027" cy="683421"/>
        </a:xfrm>
      </xdr:grpSpPr>
      <xdr:grpSp>
        <xdr:nvGrpSpPr>
          <xdr:cNvPr id="1314049" name="グループ化 2">
            <a:extLst>
              <a:ext uri="{FF2B5EF4-FFF2-40B4-BE49-F238E27FC236}">
                <a16:creationId xmlns:a16="http://schemas.microsoft.com/office/drawing/2014/main" id="{00000000-0008-0000-0C00-0000010D14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C00-00000C000000}"/>
                </a:ext>
              </a:extLst>
            </xdr:cNvPr>
            <xdr:cNvSpPr txBox="1"/>
          </xdr:nvSpPr>
          <xdr:spPr>
            <a:xfrm>
              <a:off x="3468642" y="2046718"/>
              <a:ext cx="3435288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4-X.****</a:t>
              </a:r>
              <a:endParaRPr lang="ja-JP" altLang="ja-JP">
                <a:effectLst/>
              </a:endParaRPr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 txBox="1"/>
          </xdr:nvSpPr>
          <xdr:spPr>
            <a:xfrm>
              <a:off x="6903930" y="2046718"/>
              <a:ext cx="3254483" cy="351202"/>
            </a:xfrm>
            <a:prstGeom prst="rect">
              <a:avLst/>
            </a:prstGeom>
            <a:solidFill>
              <a:srgbClr val="E0E0E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/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C00-00000E000000}"/>
                </a:ext>
              </a:extLst>
            </xdr:cNvPr>
            <xdr:cNvSpPr txBox="1"/>
          </xdr:nvSpPr>
          <xdr:spPr>
            <a:xfrm>
              <a:off x="52386" y="2046718"/>
              <a:ext cx="342577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4.</a:t>
              </a:r>
              <a:r>
                <a:rPr kumimoji="1" lang="ja-JP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画面定義</a:t>
              </a:r>
              <a:endParaRPr lang="ja-JP" altLang="ja-JP">
                <a:effectLst/>
              </a:endParaRPr>
            </a:p>
          </xdr:txBody>
        </xdr:sp>
      </xdr:grpSp>
      <xdr:grpSp>
        <xdr:nvGrpSpPr>
          <xdr:cNvPr id="1314050" name="グループ化 3">
            <a:extLst>
              <a:ext uri="{FF2B5EF4-FFF2-40B4-BE49-F238E27FC236}">
                <a16:creationId xmlns:a16="http://schemas.microsoft.com/office/drawing/2014/main" id="{00000000-0008-0000-0C00-0000020D14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 txBox="1"/>
          </xdr:nvSpPr>
          <xdr:spPr>
            <a:xfrm>
              <a:off x="1422695" y="1714499"/>
              <a:ext cx="308319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画面設計書</a:t>
              </a:r>
              <a:endParaRPr kumimoji="1" lang="ja-JP" altLang="en-US" sz="9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 txBox="1"/>
          </xdr:nvSpPr>
          <xdr:spPr>
            <a:xfrm>
              <a:off x="4505889" y="1714499"/>
              <a:ext cx="292142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走行データ解析ソフトウェア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C00-000007000000}"/>
                </a:ext>
              </a:extLst>
            </xdr:cNvPr>
            <xdr:cNvSpPr txBox="1"/>
          </xdr:nvSpPr>
          <xdr:spPr>
            <a:xfrm>
              <a:off x="7769889" y="1714499"/>
              <a:ext cx="685154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01.00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 txBox="1"/>
          </xdr:nvSpPr>
          <xdr:spPr>
            <a:xfrm>
              <a:off x="7427312" y="1714499"/>
              <a:ext cx="342577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C00-000009000000}"/>
                </a:ext>
              </a:extLst>
            </xdr:cNvPr>
            <xdr:cNvSpPr txBox="1"/>
          </xdr:nvSpPr>
          <xdr:spPr>
            <a:xfrm>
              <a:off x="8455043" y="1714499"/>
              <a:ext cx="856443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2013/05/10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 txBox="1"/>
          </xdr:nvSpPr>
          <xdr:spPr>
            <a:xfrm>
              <a:off x="52386" y="1714499"/>
              <a:ext cx="1370309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SDS-01-001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C00-00000B000000}"/>
                </a:ext>
              </a:extLst>
            </xdr:cNvPr>
            <xdr:cNvSpPr txBox="1"/>
          </xdr:nvSpPr>
          <xdr:spPr>
            <a:xfrm>
              <a:off x="9311486" y="1714499"/>
              <a:ext cx="846927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lang="ja-JP" altLang="en-US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松本</a:t>
              </a:r>
              <a:r>
                <a:rPr lang="en-US" altLang="ja-JP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ja-JP" altLang="en-US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通</a:t>
              </a:r>
              <a:r>
                <a:rPr lang="en-US" altLang="ja-JP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ja-JP" altLang="ja-JP">
                <a:effectLst/>
              </a:endParaRPr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9525</xdr:rowOff>
    </xdr:from>
    <xdr:to>
      <xdr:col>60</xdr:col>
      <xdr:colOff>0</xdr:colOff>
      <xdr:row>4</xdr:row>
      <xdr:rowOff>9525</xdr:rowOff>
    </xdr:to>
    <xdr:grpSp>
      <xdr:nvGrpSpPr>
        <xdr:cNvPr id="1315072" name="グループ化 1">
          <a:extLst>
            <a:ext uri="{FF2B5EF4-FFF2-40B4-BE49-F238E27FC236}">
              <a16:creationId xmlns:a16="http://schemas.microsoft.com/office/drawing/2014/main" id="{00000000-0008-0000-0D00-000000111400}"/>
            </a:ext>
          </a:extLst>
        </xdr:cNvPr>
        <xdr:cNvGrpSpPr>
          <a:grpSpLocks/>
        </xdr:cNvGrpSpPr>
      </xdr:nvGrpSpPr>
      <xdr:grpSpPr bwMode="auto">
        <a:xfrm>
          <a:off x="45720" y="9525"/>
          <a:ext cx="9890760" cy="670560"/>
          <a:chOff x="52386" y="1714499"/>
          <a:chExt cx="10106027" cy="683421"/>
        </a:xfrm>
      </xdr:grpSpPr>
      <xdr:grpSp>
        <xdr:nvGrpSpPr>
          <xdr:cNvPr id="1315073" name="グループ化 2">
            <a:extLst>
              <a:ext uri="{FF2B5EF4-FFF2-40B4-BE49-F238E27FC236}">
                <a16:creationId xmlns:a16="http://schemas.microsoft.com/office/drawing/2014/main" id="{00000000-0008-0000-0D00-0000011114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D00-00000C000000}"/>
                </a:ext>
              </a:extLst>
            </xdr:cNvPr>
            <xdr:cNvSpPr txBox="1"/>
          </xdr:nvSpPr>
          <xdr:spPr>
            <a:xfrm>
              <a:off x="3468642" y="2046718"/>
              <a:ext cx="3435288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4-X.****</a:t>
              </a:r>
              <a:endParaRPr lang="ja-JP" altLang="ja-JP" sz="110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D00-00000D000000}"/>
                </a:ext>
              </a:extLst>
            </xdr:cNvPr>
            <xdr:cNvSpPr txBox="1"/>
          </xdr:nvSpPr>
          <xdr:spPr>
            <a:xfrm>
              <a:off x="6903930" y="2046718"/>
              <a:ext cx="3254483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4-X-X.</a:t>
              </a:r>
              <a:r>
                <a:rPr kumimoji="1" lang="ja-JP" altLang="en-US" sz="11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項目一覧</a:t>
              </a:r>
              <a:endParaRPr lang="ja-JP" altLang="ja-JP" sz="110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D00-00000E000000}"/>
                </a:ext>
              </a:extLst>
            </xdr:cNvPr>
            <xdr:cNvSpPr txBox="1"/>
          </xdr:nvSpPr>
          <xdr:spPr>
            <a:xfrm>
              <a:off x="52386" y="2046718"/>
              <a:ext cx="342577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4.</a:t>
              </a:r>
              <a:r>
                <a:rPr kumimoji="1" lang="ja-JP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画面定義</a:t>
              </a:r>
              <a:endParaRPr lang="ja-JP" altLang="ja-JP">
                <a:effectLst/>
              </a:endParaRPr>
            </a:p>
          </xdr:txBody>
        </xdr:sp>
      </xdr:grpSp>
      <xdr:grpSp>
        <xdr:nvGrpSpPr>
          <xdr:cNvPr id="1315074" name="グループ化 3">
            <a:extLst>
              <a:ext uri="{FF2B5EF4-FFF2-40B4-BE49-F238E27FC236}">
                <a16:creationId xmlns:a16="http://schemas.microsoft.com/office/drawing/2014/main" id="{00000000-0008-0000-0D00-0000021114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D00-000005000000}"/>
                </a:ext>
              </a:extLst>
            </xdr:cNvPr>
            <xdr:cNvSpPr txBox="1"/>
          </xdr:nvSpPr>
          <xdr:spPr>
            <a:xfrm>
              <a:off x="1422695" y="1714499"/>
              <a:ext cx="308319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画面設計書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D00-000006000000}"/>
                </a:ext>
              </a:extLst>
            </xdr:cNvPr>
            <xdr:cNvSpPr txBox="1"/>
          </xdr:nvSpPr>
          <xdr:spPr>
            <a:xfrm>
              <a:off x="4505889" y="1714499"/>
              <a:ext cx="292142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走行データ解析ソフトウェア</a:t>
              </a: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D00-000007000000}"/>
                </a:ext>
              </a:extLst>
            </xdr:cNvPr>
            <xdr:cNvSpPr txBox="1"/>
          </xdr:nvSpPr>
          <xdr:spPr>
            <a:xfrm>
              <a:off x="7769889" y="1714499"/>
              <a:ext cx="685154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01.00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 txBox="1"/>
          </xdr:nvSpPr>
          <xdr:spPr>
            <a:xfrm>
              <a:off x="7427312" y="1714499"/>
              <a:ext cx="342577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 txBox="1"/>
          </xdr:nvSpPr>
          <xdr:spPr>
            <a:xfrm>
              <a:off x="8455043" y="1714499"/>
              <a:ext cx="856443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2013/05/10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 txBox="1"/>
          </xdr:nvSpPr>
          <xdr:spPr>
            <a:xfrm>
              <a:off x="52386" y="1714499"/>
              <a:ext cx="1370309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SDS-01-001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D00-00000B000000}"/>
                </a:ext>
              </a:extLst>
            </xdr:cNvPr>
            <xdr:cNvSpPr txBox="1"/>
          </xdr:nvSpPr>
          <xdr:spPr>
            <a:xfrm>
              <a:off x="9311486" y="1714499"/>
              <a:ext cx="846927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lang="ja-JP" altLang="en-US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松本</a:t>
              </a:r>
              <a:r>
                <a:rPr lang="en-US" altLang="ja-JP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ja-JP" altLang="en-US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通</a:t>
              </a:r>
              <a:r>
                <a:rPr lang="en-US" altLang="ja-JP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ja-JP" altLang="ja-JP">
                <a:effectLst/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9525</xdr:rowOff>
    </xdr:from>
    <xdr:to>
      <xdr:col>60</xdr:col>
      <xdr:colOff>0</xdr:colOff>
      <xdr:row>4</xdr:row>
      <xdr:rowOff>9525</xdr:rowOff>
    </xdr:to>
    <xdr:grpSp>
      <xdr:nvGrpSpPr>
        <xdr:cNvPr id="1316096" name="グループ化 1">
          <a:extLst>
            <a:ext uri="{FF2B5EF4-FFF2-40B4-BE49-F238E27FC236}">
              <a16:creationId xmlns:a16="http://schemas.microsoft.com/office/drawing/2014/main" id="{00000000-0008-0000-0E00-000000151400}"/>
            </a:ext>
          </a:extLst>
        </xdr:cNvPr>
        <xdr:cNvGrpSpPr>
          <a:grpSpLocks/>
        </xdr:cNvGrpSpPr>
      </xdr:nvGrpSpPr>
      <xdr:grpSpPr bwMode="auto">
        <a:xfrm>
          <a:off x="45720" y="9525"/>
          <a:ext cx="9890760" cy="670560"/>
          <a:chOff x="52386" y="1714499"/>
          <a:chExt cx="10106027" cy="683421"/>
        </a:xfrm>
      </xdr:grpSpPr>
      <xdr:grpSp>
        <xdr:nvGrpSpPr>
          <xdr:cNvPr id="1316097" name="グループ化 2">
            <a:extLst>
              <a:ext uri="{FF2B5EF4-FFF2-40B4-BE49-F238E27FC236}">
                <a16:creationId xmlns:a16="http://schemas.microsoft.com/office/drawing/2014/main" id="{00000000-0008-0000-0E00-0000011514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E00-00000C000000}"/>
                </a:ext>
              </a:extLst>
            </xdr:cNvPr>
            <xdr:cNvSpPr txBox="1"/>
          </xdr:nvSpPr>
          <xdr:spPr>
            <a:xfrm>
              <a:off x="3468642" y="2046718"/>
              <a:ext cx="3435288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4-X.****</a:t>
              </a:r>
              <a:endParaRPr lang="ja-JP" altLang="ja-JP">
                <a:effectLst/>
              </a:endParaRPr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SpPr txBox="1"/>
          </xdr:nvSpPr>
          <xdr:spPr>
            <a:xfrm>
              <a:off x="6903930" y="2046718"/>
              <a:ext cx="3254483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4-X-X.</a:t>
              </a:r>
              <a:r>
                <a:rPr kumimoji="1" lang="ja-JP" alt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機能</a:t>
              </a:r>
              <a:r>
                <a:rPr kumimoji="1" lang="ja-JP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一覧</a:t>
              </a:r>
              <a:endParaRPr lang="ja-JP" altLang="ja-JP">
                <a:effectLst/>
              </a:endParaRPr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SpPr txBox="1"/>
          </xdr:nvSpPr>
          <xdr:spPr>
            <a:xfrm>
              <a:off x="52386" y="2046718"/>
              <a:ext cx="342577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4.</a:t>
              </a:r>
              <a:r>
                <a:rPr kumimoji="1" lang="ja-JP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画面定義</a:t>
              </a:r>
              <a:endParaRPr lang="ja-JP" altLang="ja-JP">
                <a:effectLst/>
              </a:endParaRPr>
            </a:p>
          </xdr:txBody>
        </xdr:sp>
      </xdr:grpSp>
      <xdr:grpSp>
        <xdr:nvGrpSpPr>
          <xdr:cNvPr id="1316098" name="グループ化 3">
            <a:extLst>
              <a:ext uri="{FF2B5EF4-FFF2-40B4-BE49-F238E27FC236}">
                <a16:creationId xmlns:a16="http://schemas.microsoft.com/office/drawing/2014/main" id="{00000000-0008-0000-0E00-0000021514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 txBox="1"/>
          </xdr:nvSpPr>
          <xdr:spPr>
            <a:xfrm>
              <a:off x="1422695" y="1714499"/>
              <a:ext cx="308319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/>
              <a:r>
                <a:rPr kumimoji="1" lang="ja-JP" altLang="en-US" sz="1000" b="1">
                  <a:solidFill>
                    <a:schemeClr val="bg1"/>
                  </a:solidFill>
                </a:rPr>
                <a:t>画面設計書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 txBox="1"/>
          </xdr:nvSpPr>
          <xdr:spPr>
            <a:xfrm>
              <a:off x="4505889" y="1714499"/>
              <a:ext cx="292142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走行データ解析ソフトウェア</a:t>
              </a:r>
              <a:endParaRPr kumimoji="1" lang="ja-JP" altLang="en-US" sz="9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 txBox="1"/>
          </xdr:nvSpPr>
          <xdr:spPr>
            <a:xfrm>
              <a:off x="7769889" y="1714499"/>
              <a:ext cx="685154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01.00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 txBox="1"/>
          </xdr:nvSpPr>
          <xdr:spPr>
            <a:xfrm>
              <a:off x="7427312" y="1714499"/>
              <a:ext cx="342577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 txBox="1"/>
          </xdr:nvSpPr>
          <xdr:spPr>
            <a:xfrm>
              <a:off x="8455043" y="1714499"/>
              <a:ext cx="856443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2013/05/10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 txBox="1"/>
          </xdr:nvSpPr>
          <xdr:spPr>
            <a:xfrm>
              <a:off x="52386" y="1714499"/>
              <a:ext cx="1370309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SDS-01-001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E00-00000B000000}"/>
                </a:ext>
              </a:extLst>
            </xdr:cNvPr>
            <xdr:cNvSpPr txBox="1"/>
          </xdr:nvSpPr>
          <xdr:spPr>
            <a:xfrm>
              <a:off x="9311486" y="1714499"/>
              <a:ext cx="846927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/>
              </a:pPr>
              <a:r>
                <a:rPr lang="ja-JP" altLang="en-US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松本</a:t>
              </a:r>
              <a:r>
                <a:rPr lang="en-US" altLang="ja-JP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ja-JP" altLang="en-US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通</a:t>
              </a:r>
              <a:r>
                <a:rPr lang="en-US" altLang="ja-JP" sz="1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ja-JP" altLang="ja-JP">
                <a:effectLst/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9525</xdr:rowOff>
    </xdr:from>
    <xdr:to>
      <xdr:col>60</xdr:col>
      <xdr:colOff>0</xdr:colOff>
      <xdr:row>4</xdr:row>
      <xdr:rowOff>9525</xdr:rowOff>
    </xdr:to>
    <xdr:grpSp>
      <xdr:nvGrpSpPr>
        <xdr:cNvPr id="1317120" name="グループ化 1">
          <a:extLst>
            <a:ext uri="{FF2B5EF4-FFF2-40B4-BE49-F238E27FC236}">
              <a16:creationId xmlns:a16="http://schemas.microsoft.com/office/drawing/2014/main" id="{00000000-0008-0000-0F00-000000191400}"/>
            </a:ext>
          </a:extLst>
        </xdr:cNvPr>
        <xdr:cNvGrpSpPr>
          <a:grpSpLocks/>
        </xdr:cNvGrpSpPr>
      </xdr:nvGrpSpPr>
      <xdr:grpSpPr bwMode="auto">
        <a:xfrm>
          <a:off x="45720" y="9525"/>
          <a:ext cx="9890760" cy="670560"/>
          <a:chOff x="52386" y="1714499"/>
          <a:chExt cx="10106027" cy="683421"/>
        </a:xfrm>
      </xdr:grpSpPr>
      <xdr:grpSp>
        <xdr:nvGrpSpPr>
          <xdr:cNvPr id="1317121" name="グループ化 2">
            <a:extLst>
              <a:ext uri="{FF2B5EF4-FFF2-40B4-BE49-F238E27FC236}">
                <a16:creationId xmlns:a16="http://schemas.microsoft.com/office/drawing/2014/main" id="{00000000-0008-0000-0F00-000001191400}"/>
              </a:ext>
            </a:extLst>
          </xdr:cNvPr>
          <xdr:cNvGrpSpPr>
            <a:grpSpLocks/>
          </xdr:cNvGrpSpPr>
        </xdr:nvGrpSpPr>
        <xdr:grpSpPr bwMode="auto">
          <a:xfrm>
            <a:off x="52386" y="2045493"/>
            <a:ext cx="10106027" cy="352427"/>
            <a:chOff x="52386" y="2045493"/>
            <a:chExt cx="10106027" cy="352427"/>
          </a:xfrm>
        </xdr:grpSpPr>
        <xdr:sp macro="" textlink="">
          <xdr:nvSpPr>
            <xdr:cNvPr id="12" name="\HEAD\見出し2"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 txBox="1"/>
          </xdr:nvSpPr>
          <xdr:spPr>
            <a:xfrm>
              <a:off x="3468642" y="2046718"/>
              <a:ext cx="3435288" cy="351202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1" lang="ja-JP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見出し</a:t>
              </a:r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3" name="\HEAD\見出し3"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 txBox="1"/>
          </xdr:nvSpPr>
          <xdr:spPr>
            <a:xfrm>
              <a:off x="6903930" y="2046718"/>
              <a:ext cx="3254483" cy="351202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1" lang="ja-JP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見出し</a:t>
              </a:r>
              <a:r>
                <a:rPr kumimoji="1" lang="en-US" altLang="ja-JP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3</a:t>
              </a:r>
              <a:endParaRPr lang="ja-JP" altLang="ja-JP" sz="1000">
                <a:effectLst/>
              </a:endParaRPr>
            </a:p>
          </xdr:txBody>
        </xdr:sp>
        <xdr:sp macro="" textlink="">
          <xdr:nvSpPr>
            <xdr:cNvPr id="14" name="\HEAD\見出し1"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 txBox="1"/>
          </xdr:nvSpPr>
          <xdr:spPr>
            <a:xfrm>
              <a:off x="52386" y="2046718"/>
              <a:ext cx="3425772" cy="351202"/>
            </a:xfrm>
            <a:prstGeom prst="rect">
              <a:avLst/>
            </a:prstGeom>
            <a:solidFill>
              <a:srgbClr val="FFFFFF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見出し</a:t>
              </a:r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1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</xdr:grpSp>
      <xdr:grpSp>
        <xdr:nvGrpSpPr>
          <xdr:cNvPr id="1317122" name="グループ化 3">
            <a:extLst>
              <a:ext uri="{FF2B5EF4-FFF2-40B4-BE49-F238E27FC236}">
                <a16:creationId xmlns:a16="http://schemas.microsoft.com/office/drawing/2014/main" id="{00000000-0008-0000-0F00-000002191400}"/>
              </a:ext>
            </a:extLst>
          </xdr:cNvPr>
          <xdr:cNvGrpSpPr>
            <a:grpSpLocks/>
          </xdr:cNvGrpSpPr>
        </xdr:nvGrpSpPr>
        <xdr:grpSpPr bwMode="auto">
          <a:xfrm>
            <a:off x="52387" y="1714499"/>
            <a:ext cx="10106026" cy="342902"/>
            <a:chOff x="52387" y="1714499"/>
            <a:chExt cx="10106026" cy="342902"/>
          </a:xfrm>
        </xdr:grpSpPr>
        <xdr:sp macro="" textlink="">
          <xdr:nvSpPr>
            <xdr:cNvPr id="5" name="\HEAD\ドキュメント総称"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 txBox="1"/>
          </xdr:nvSpPr>
          <xdr:spPr>
            <a:xfrm>
              <a:off x="1422695" y="1714499"/>
              <a:ext cx="3083195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 algn="l">
                <a:lnSpc>
                  <a:spcPts val="1200"/>
                </a:lnSpc>
              </a:pPr>
              <a:r>
                <a:rPr kumimoji="1" lang="ja-JP" altLang="en-US" sz="1000" b="1">
                  <a:solidFill>
                    <a:schemeClr val="bg1"/>
                  </a:solidFill>
                </a:rPr>
                <a:t>★ドキュメント名★</a:t>
              </a:r>
            </a:p>
            <a:p>
              <a:pPr algn="l">
                <a:lnSpc>
                  <a:spcPts val="1200"/>
                </a:lnSpc>
              </a:pPr>
              <a:r>
                <a:rPr kumimoji="1" lang="ja-JP" altLang="en-US" sz="900" b="1">
                  <a:solidFill>
                    <a:schemeClr val="bg1"/>
                  </a:solidFill>
                </a:rPr>
                <a:t>★サブドキュメント名★</a:t>
              </a:r>
            </a:p>
          </xdr:txBody>
        </xdr:sp>
        <xdr:sp macro="" textlink="">
          <xdr:nvSpPr>
            <xdr:cNvPr id="6" name="\HEAD\システム総称"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 txBox="1"/>
          </xdr:nvSpPr>
          <xdr:spPr>
            <a:xfrm>
              <a:off x="4505889" y="1714499"/>
              <a:ext cx="2921422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pPr>
                <a:lnSpc>
                  <a:spcPts val="1200"/>
                </a:lnSpc>
              </a:pPr>
              <a:r>
                <a:rPr kumimoji="1" lang="ja-JP" altLang="en-US" sz="1000" b="1">
                  <a:solidFill>
                    <a:sysClr val="windowText" lastClr="000000"/>
                  </a:solidFill>
                </a:rPr>
                <a:t>★システム名★</a:t>
              </a:r>
            </a:p>
            <a:p>
              <a:pPr>
                <a:lnSpc>
                  <a:spcPts val="1200"/>
                </a:lnSpc>
              </a:pPr>
              <a:r>
                <a:rPr kumimoji="1" lang="ja-JP" altLang="en-US" sz="900" b="1">
                  <a:solidFill>
                    <a:sysClr val="windowText" lastClr="000000"/>
                  </a:solidFill>
                </a:rPr>
                <a:t>★サブシステム名★</a:t>
              </a:r>
            </a:p>
          </xdr:txBody>
        </xdr:sp>
        <xdr:sp macro="" textlink="">
          <xdr:nvSpPr>
            <xdr:cNvPr id="7" name="\HEAD\最終発行版"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 txBox="1"/>
          </xdr:nvSpPr>
          <xdr:spPr>
            <a:xfrm>
              <a:off x="7769889" y="1714499"/>
              <a:ext cx="685154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Rev. 01.10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8" name="版"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 txBox="1"/>
          </xdr:nvSpPr>
          <xdr:spPr>
            <a:xfrm>
              <a:off x="7427312" y="1714499"/>
              <a:ext cx="342577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ja-JP" altLang="en-US" sz="1000" b="1">
                  <a:solidFill>
                    <a:schemeClr val="bg1"/>
                  </a:solidFill>
                </a:rPr>
                <a:t>版番</a:t>
              </a:r>
            </a:p>
          </xdr:txBody>
        </xdr:sp>
        <xdr:sp macro="" textlink="">
          <xdr:nvSpPr>
            <xdr:cNvPr id="9" name="\HEAD\最終発行日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 txBox="1"/>
          </xdr:nvSpPr>
          <xdr:spPr>
            <a:xfrm>
              <a:off x="8455043" y="1714499"/>
              <a:ext cx="856443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ysClr val="windowText" lastClr="000000"/>
                  </a:solidFill>
                </a:rPr>
                <a:t>2012/10/30</a:t>
              </a:r>
              <a:endParaRPr kumimoji="1" lang="ja-JP" altLang="en-US" sz="10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0" name="\HEAD\ドキュメントNO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 txBox="1"/>
          </xdr:nvSpPr>
          <xdr:spPr>
            <a:xfrm>
              <a:off x="52386" y="1714499"/>
              <a:ext cx="1370309" cy="341710"/>
            </a:xfrm>
            <a:prstGeom prst="rect">
              <a:avLst/>
            </a:prstGeom>
            <a:solidFill>
              <a:srgbClr val="0070C0"/>
            </a:solidFill>
            <a:ln w="12700" cmpd="sng"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r>
                <a:rPr kumimoji="1" lang="en-US" altLang="ja-JP" sz="1000" b="1">
                  <a:solidFill>
                    <a:schemeClr val="bg1"/>
                  </a:solidFill>
                </a:rPr>
                <a:t>SDS-01-001</a:t>
              </a:r>
              <a:endParaRPr kumimoji="1" lang="ja-JP" altLang="en-US" sz="10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1" name="\HEAD\最終担当者"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 txBox="1"/>
          </xdr:nvSpPr>
          <xdr:spPr>
            <a:xfrm>
              <a:off x="9311486" y="1714499"/>
              <a:ext cx="846927" cy="341710"/>
            </a:xfrm>
            <a:prstGeom prst="rect">
              <a:avLst/>
            </a:prstGeom>
            <a:solidFill>
              <a:schemeClr val="bg1"/>
            </a:solidFill>
            <a:ln w="12700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 anchorCtr="1"/>
            <a:lstStyle/>
            <a:p>
              <a:endParaRPr lang="ja-JP" altLang="en-US"/>
            </a:p>
          </xdr:txBody>
        </xdr: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-05\eng_section\Users\tfuruhas\Desktop\SDS-01-001_&#65533;&#65533;%7b&#65533;&#1868;v&#65533;&#6553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改定履歴"/>
      <sheetName val="目次"/>
      <sheetName val="1.適用"/>
      <sheetName val="2-1.システム構成"/>
      <sheetName val="2-2.ネットワーク仕様"/>
      <sheetName val="3-1.基本作業フロー1"/>
      <sheetName val="3-2.システム機能概要図"/>
      <sheetName val="3-3.システム機能大別表 (1)"/>
      <sheetName val="4-1.コード定義"/>
      <sheetName val="5-1.ユースケース図_(1)"/>
      <sheetName val="6-1.ユースケース記述_(F1001)"/>
      <sheetName val="7-1.運用性"/>
      <sheetName val="7-2.性能"/>
      <sheetName val="7-3.信頼性"/>
      <sheetName val="7-4.セキュリティ"/>
      <sheetName val="7-5.拡張性"/>
      <sheetName val="7-6.運用"/>
    </sheetNames>
    <sheetDataSet>
      <sheetData sheetId="0">
        <row r="10">
          <cell r="D10" t="str">
            <v>○○○○株式会社</v>
          </cell>
        </row>
        <row r="11">
          <cell r="D11" t="str">
            <v>同上</v>
          </cell>
        </row>
        <row r="13">
          <cell r="D13" t="str">
            <v>○○○○システム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10</v>
    <v>10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K38"/>
  <sheetViews>
    <sheetView view="pageBreakPreview" zoomScaleNormal="100" zoomScaleSheetLayoutView="100" workbookViewId="0"/>
  </sheetViews>
  <sheetFormatPr defaultColWidth="9" defaultRowHeight="13.2" x14ac:dyDescent="0.2"/>
  <cols>
    <col min="1" max="1" width="6.88671875" style="1" customWidth="1"/>
    <col min="2" max="2" width="10.88671875" style="1" customWidth="1"/>
    <col min="3" max="3" width="17.21875" style="1" customWidth="1"/>
    <col min="4" max="4" width="31.77734375" style="1" customWidth="1"/>
    <col min="5" max="9" width="10.88671875" style="1" customWidth="1"/>
    <col min="10" max="10" width="7.33203125" style="1" customWidth="1"/>
    <col min="11" max="16384" width="9" style="1"/>
  </cols>
  <sheetData>
    <row r="1" spans="1:63" ht="7.5" customHeight="1" x14ac:dyDescent="0.2">
      <c r="B1" s="2"/>
      <c r="K1"/>
      <c r="Z1" s="1" t="e" vm="1">
        <f>Heigt</f>
        <v>#NAME?</v>
      </c>
    </row>
    <row r="2" spans="1:63" ht="2.4" customHeight="1" x14ac:dyDescent="0.2">
      <c r="A2" s="3"/>
      <c r="B2" s="4"/>
      <c r="C2" s="3"/>
      <c r="D2" s="3"/>
      <c r="E2" s="3"/>
      <c r="F2" s="3"/>
      <c r="G2" s="3"/>
      <c r="H2" s="3"/>
      <c r="I2" s="3"/>
      <c r="J2" s="3"/>
      <c r="Z2" s="1" t="e" vm="1">
        <f>Heigt</f>
        <v>#NAME?</v>
      </c>
    </row>
    <row r="3" spans="1:63" ht="2.4" customHeight="1" x14ac:dyDescent="0.2">
      <c r="Z3" s="1" t="e" vm="1">
        <f>Heigt</f>
        <v>#NAME?</v>
      </c>
    </row>
    <row r="4" spans="1:63" s="5" customFormat="1" ht="0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Z4" s="1" t="e" vm="1">
        <f>Heigt</f>
        <v>#NAME?</v>
      </c>
    </row>
    <row r="6" spans="1:63" x14ac:dyDescent="0.2"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" t="e" vm="1">
        <f>Heigt</f>
        <v>#NAME?</v>
      </c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</row>
    <row r="7" spans="1:63" x14ac:dyDescent="0.2"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</row>
    <row r="8" spans="1:63" x14ac:dyDescent="0.2">
      <c r="Z8" s="1" t="e" vm="1">
        <f>Heigt</f>
        <v>#NAME?</v>
      </c>
    </row>
    <row r="9" spans="1:63" x14ac:dyDescent="0.2">
      <c r="Z9" s="1" t="e" vm="1">
        <f>Heigt</f>
        <v>#NAME?</v>
      </c>
    </row>
    <row r="10" spans="1:63" s="6" customFormat="1" ht="19.5" customHeight="1" x14ac:dyDescent="0.2">
      <c r="C10" s="17" t="s">
        <v>11</v>
      </c>
      <c r="D10" s="216" t="s">
        <v>89</v>
      </c>
      <c r="E10" s="216"/>
      <c r="F10" s="216"/>
      <c r="G10" s="216"/>
      <c r="H10" s="8" t="s">
        <v>2</v>
      </c>
      <c r="Z10" s="1" t="e" vm="1">
        <f>Heigt</f>
        <v>#NAME?</v>
      </c>
    </row>
    <row r="11" spans="1:63" s="6" customFormat="1" ht="19.5" customHeight="1" x14ac:dyDescent="0.2">
      <c r="C11" s="17" t="s">
        <v>12</v>
      </c>
      <c r="D11" s="215" t="s">
        <v>90</v>
      </c>
      <c r="E11" s="215"/>
      <c r="F11" s="215"/>
      <c r="G11" s="215"/>
      <c r="H11" s="8" t="s">
        <v>2</v>
      </c>
      <c r="Z11" s="1" t="e" vm="1">
        <f>Heigt</f>
        <v>#NAME?</v>
      </c>
    </row>
    <row r="12" spans="1:63" s="6" customFormat="1" ht="19.5" customHeight="1" x14ac:dyDescent="0.2">
      <c r="C12" s="7"/>
      <c r="D12" s="217"/>
      <c r="E12" s="217"/>
      <c r="F12" s="217"/>
      <c r="G12" s="9"/>
      <c r="H12" s="9"/>
      <c r="Z12" s="1" t="e" vm="1">
        <f>Heigt</f>
        <v>#NAME?</v>
      </c>
    </row>
    <row r="13" spans="1:63" s="6" customFormat="1" ht="19.5" customHeight="1" x14ac:dyDescent="0.2">
      <c r="C13" s="17" t="s">
        <v>5</v>
      </c>
      <c r="D13" s="216" t="s">
        <v>91</v>
      </c>
      <c r="E13" s="216"/>
      <c r="F13" s="216"/>
      <c r="G13" s="216"/>
      <c r="H13" s="9"/>
      <c r="Z13" s="1" t="e" vm="1">
        <f>Heigt</f>
        <v>#NAME?</v>
      </c>
    </row>
    <row r="14" spans="1:63" s="6" customFormat="1" ht="19.5" customHeight="1" x14ac:dyDescent="0.2">
      <c r="C14" s="7"/>
      <c r="D14" s="215"/>
      <c r="E14" s="215"/>
      <c r="F14" s="215"/>
      <c r="G14" s="215"/>
      <c r="H14" s="10"/>
      <c r="Z14" s="1" t="e" vm="1">
        <f>Heigt</f>
        <v>#NAME?</v>
      </c>
    </row>
    <row r="15" spans="1:63" s="6" customFormat="1" ht="19.5" customHeight="1" x14ac:dyDescent="0.2">
      <c r="C15" s="7"/>
      <c r="D15" s="36"/>
      <c r="E15" s="36"/>
      <c r="F15" s="36"/>
      <c r="G15" s="34"/>
      <c r="H15" s="10"/>
      <c r="Z15" s="1" t="e" vm="1">
        <f>Heigt</f>
        <v>#NAME?</v>
      </c>
    </row>
    <row r="16" spans="1:63" s="6" customFormat="1" ht="19.5" customHeight="1" x14ac:dyDescent="0.2">
      <c r="C16" s="17" t="s">
        <v>10</v>
      </c>
      <c r="D16" s="216" t="s">
        <v>35</v>
      </c>
      <c r="E16" s="216"/>
      <c r="F16" s="216"/>
      <c r="G16" s="216"/>
      <c r="H16" s="9"/>
      <c r="Z16" s="1" t="e" vm="1">
        <f>Heigt</f>
        <v>#NAME?</v>
      </c>
    </row>
    <row r="17" spans="1:26" s="6" customFormat="1" ht="19.5" customHeight="1" x14ac:dyDescent="0.2">
      <c r="C17" s="17" t="s">
        <v>13</v>
      </c>
      <c r="D17" s="215" t="s">
        <v>92</v>
      </c>
      <c r="E17" s="215"/>
      <c r="F17" s="215"/>
      <c r="G17" s="215"/>
      <c r="H17" s="9"/>
      <c r="Z17" s="1" t="e" vm="1">
        <f>Heigt</f>
        <v>#NAME?</v>
      </c>
    </row>
    <row r="18" spans="1:26" s="6" customFormat="1" ht="19.5" customHeight="1" x14ac:dyDescent="0.2">
      <c r="C18" s="17"/>
      <c r="D18" s="215"/>
      <c r="E18" s="215"/>
      <c r="F18" s="215"/>
      <c r="G18" s="215"/>
      <c r="H18" s="9"/>
      <c r="Z18" s="1" t="e" vm="1">
        <f>Heigt</f>
        <v>#NAME?</v>
      </c>
    </row>
    <row r="19" spans="1:26" s="6" customFormat="1" ht="19.5" customHeight="1" x14ac:dyDescent="0.2">
      <c r="C19" s="11"/>
      <c r="D19" s="221"/>
      <c r="E19" s="221"/>
      <c r="F19" s="221"/>
      <c r="G19" s="35"/>
      <c r="H19" s="12"/>
      <c r="Z19" s="1" t="e" vm="1">
        <f>Heigt</f>
        <v>#NAME?</v>
      </c>
    </row>
    <row r="20" spans="1:26" s="6" customFormat="1" ht="16.2" x14ac:dyDescent="0.2">
      <c r="C20" s="17" t="s">
        <v>6</v>
      </c>
      <c r="D20" s="87">
        <v>1</v>
      </c>
      <c r="E20" s="222">
        <v>43466</v>
      </c>
      <c r="F20" s="222"/>
      <c r="G20" s="148" t="s">
        <v>208</v>
      </c>
      <c r="H20" s="13"/>
      <c r="Z20" s="1" t="e" vm="1">
        <f>Heigt</f>
        <v>#NAME?</v>
      </c>
    </row>
    <row r="21" spans="1:26" s="6" customFormat="1" ht="17.25" customHeight="1" x14ac:dyDescent="0.2">
      <c r="C21" s="17" t="s">
        <v>8</v>
      </c>
      <c r="D21" s="87">
        <v>1</v>
      </c>
      <c r="E21" s="223">
        <v>43466</v>
      </c>
      <c r="F21" s="223"/>
      <c r="G21" s="147" t="s">
        <v>209</v>
      </c>
      <c r="H21" s="14"/>
      <c r="Z21" s="1" t="e" vm="1">
        <f>Heigt</f>
        <v>#NAME?</v>
      </c>
    </row>
    <row r="22" spans="1:26" s="6" customFormat="1" ht="16.2" x14ac:dyDescent="0.2">
      <c r="C22" s="17" t="s">
        <v>131</v>
      </c>
      <c r="D22" s="31" t="s">
        <v>93</v>
      </c>
      <c r="E22" s="37"/>
      <c r="F22" s="37"/>
      <c r="G22" s="31"/>
      <c r="H22" s="14"/>
      <c r="Z22" s="1" t="e" vm="1">
        <f>Heigt</f>
        <v>#NAME?</v>
      </c>
    </row>
    <row r="23" spans="1:26" x14ac:dyDescent="0.2">
      <c r="B23" s="2"/>
      <c r="Z23" s="1" t="e" vm="1">
        <f>Heigt</f>
        <v>#NAME?</v>
      </c>
    </row>
    <row r="24" spans="1:26" x14ac:dyDescent="0.2">
      <c r="B24" s="2"/>
      <c r="Z24" s="1" t="e" vm="1">
        <f>Heigt</f>
        <v>#NAME?</v>
      </c>
    </row>
    <row r="25" spans="1:26" x14ac:dyDescent="0.2">
      <c r="B25" s="2"/>
      <c r="Z25" s="1" t="e" vm="1">
        <f>Heigt</f>
        <v>#NAME?</v>
      </c>
    </row>
    <row r="26" spans="1:26" x14ac:dyDescent="0.2">
      <c r="B26" s="2"/>
      <c r="Z26" s="1" t="e" vm="1">
        <f>Heigt</f>
        <v>#NAME?</v>
      </c>
    </row>
    <row r="27" spans="1:26" x14ac:dyDescent="0.2">
      <c r="B27" s="2"/>
      <c r="F27" s="219" t="s">
        <v>87</v>
      </c>
      <c r="G27" s="220"/>
      <c r="H27" s="213" t="s">
        <v>4</v>
      </c>
      <c r="I27" s="214"/>
      <c r="Z27" s="1" t="e" vm="1">
        <f>Heigt</f>
        <v>#NAME?</v>
      </c>
    </row>
    <row r="28" spans="1:26" ht="16.5" customHeight="1" x14ac:dyDescent="0.2">
      <c r="B28" s="15" t="s">
        <v>94</v>
      </c>
      <c r="F28" s="15" t="s">
        <v>3</v>
      </c>
      <c r="G28" s="81" t="s">
        <v>86</v>
      </c>
      <c r="H28" s="84" t="s">
        <v>86</v>
      </c>
      <c r="I28" s="15" t="s">
        <v>4</v>
      </c>
      <c r="Z28" s="1" t="e" vm="1">
        <f>Heigt</f>
        <v>#NAME?</v>
      </c>
    </row>
    <row r="29" spans="1:26" ht="30" customHeight="1" x14ac:dyDescent="0.25">
      <c r="A29" s="38"/>
      <c r="B29" s="88"/>
      <c r="C29" s="38"/>
      <c r="D29" s="224" t="s">
        <v>27</v>
      </c>
      <c r="E29" s="225"/>
      <c r="F29" s="79"/>
      <c r="G29" s="82"/>
      <c r="H29" s="85"/>
      <c r="I29" s="79"/>
      <c r="J29" s="38"/>
      <c r="L29" s="1" t="b">
        <v>0</v>
      </c>
      <c r="Z29" s="1" t="e" vm="1">
        <f>Heigt</f>
        <v>#NAME?</v>
      </c>
    </row>
    <row r="30" spans="1:26" ht="30.75" customHeight="1" x14ac:dyDescent="0.25">
      <c r="A30" s="39"/>
      <c r="B30" s="80"/>
      <c r="C30" s="39"/>
      <c r="D30" s="218" t="s">
        <v>132</v>
      </c>
      <c r="E30" s="218"/>
      <c r="F30" s="80"/>
      <c r="G30" s="83"/>
      <c r="H30" s="86"/>
      <c r="I30" s="80"/>
      <c r="J30" s="39"/>
      <c r="Z30" s="1" t="e" vm="1">
        <f>Heigt</f>
        <v>#NAME?</v>
      </c>
    </row>
    <row r="31" spans="1:26" ht="13.5" customHeight="1" x14ac:dyDescent="0.2">
      <c r="G31" s="149"/>
      <c r="H31" s="149"/>
      <c r="I31" s="149"/>
      <c r="Z31" s="1" t="e" vm="1">
        <f>Heigt</f>
        <v>#NAME?</v>
      </c>
    </row>
    <row r="32" spans="1:26" x14ac:dyDescent="0.2">
      <c r="I32" s="16"/>
      <c r="Z32" s="1" t="e" vm="1">
        <f>Heigt</f>
        <v>#NAME?</v>
      </c>
    </row>
    <row r="33" spans="1:26" x14ac:dyDescent="0.2">
      <c r="Z33" s="1" t="e" vm="1">
        <f>Heigt</f>
        <v>#NAME?</v>
      </c>
    </row>
    <row r="34" spans="1:26" ht="0.7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Z34" s="1" t="e" vm="1">
        <f>Heigt</f>
        <v>#NAME?</v>
      </c>
    </row>
    <row r="35" spans="1:26" ht="2.4" customHeight="1" x14ac:dyDescent="0.2">
      <c r="Z35" s="1" t="e" vm="1">
        <f>Heigt</f>
        <v>#NAME?</v>
      </c>
    </row>
    <row r="36" spans="1:26" ht="2.4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Z36" s="1" t="e" vm="1">
        <f>Heigt</f>
        <v>#NAME?</v>
      </c>
    </row>
    <row r="37" spans="1:26" x14ac:dyDescent="0.2">
      <c r="Z37" s="1" t="e" vm="1">
        <f>Heigt</f>
        <v>#NAME?</v>
      </c>
    </row>
    <row r="38" spans="1:26" x14ac:dyDescent="0.2">
      <c r="Z38" s="1" t="e" vm="1">
        <f>Heigt</f>
        <v>#NAME?</v>
      </c>
    </row>
  </sheetData>
  <dataConsolidate/>
  <mergeCells count="15">
    <mergeCell ref="D30:E30"/>
    <mergeCell ref="F27:G27"/>
    <mergeCell ref="D18:G18"/>
    <mergeCell ref="D19:F19"/>
    <mergeCell ref="E20:F20"/>
    <mergeCell ref="E21:F21"/>
    <mergeCell ref="D29:E29"/>
    <mergeCell ref="H27:I27"/>
    <mergeCell ref="D17:G17"/>
    <mergeCell ref="D16:G16"/>
    <mergeCell ref="D10:G10"/>
    <mergeCell ref="D12:F12"/>
    <mergeCell ref="D13:G13"/>
    <mergeCell ref="D14:G14"/>
    <mergeCell ref="D11:G11"/>
  </mergeCells>
  <phoneticPr fontId="3"/>
  <conditionalFormatting sqref="D21">
    <cfRule type="expression" dxfId="10" priority="5" stopIfTrue="1">
      <formula>AND($D$20=$D$21,$E$20=$E$21,$G$20=$G$21)</formula>
    </cfRule>
  </conditionalFormatting>
  <conditionalFormatting sqref="E21">
    <cfRule type="expression" dxfId="9" priority="6" stopIfTrue="1">
      <formula>AND($D$20=$D$21,$E$20=$E$21,$G$20=$G$21)</formula>
    </cfRule>
  </conditionalFormatting>
  <conditionalFormatting sqref="B28:B30">
    <cfRule type="expression" dxfId="8" priority="4">
      <formula>$L$29=FALSE</formula>
    </cfRule>
  </conditionalFormatting>
  <conditionalFormatting sqref="H11">
    <cfRule type="expression" dxfId="7" priority="3">
      <formula>\DOC\需要先名="同上"</formula>
    </cfRule>
  </conditionalFormatting>
  <conditionalFormatting sqref="G21">
    <cfRule type="expression" dxfId="6" priority="1" stopIfTrue="1">
      <formula>AND($D$20=$D$21,$E$20=$E$21,$G$20=$G$21)</formula>
    </cfRule>
  </conditionalFormatting>
  <printOptions horizontalCentered="1"/>
  <pageMargins left="0.19685039370078741" right="0.19685039370078741" top="0.98425196850393704" bottom="0.59055118110236227" header="0.78740157480314965" footer="0.62992125984251968"/>
  <pageSetup paperSize="9" orientation="landscape" r:id="rId1"/>
  <headerFooter alignWithMargins="0">
    <oddHeader>&amp;R&amp;G</oddHeader>
    <oddFooter>&amp;C&amp;"Arial,標準"&amp;6(C) 2019 Kyoritsu Electric Corporation All Rights Reserved.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36" r:id="rId5" name="Check Box 88">
              <controlPr defaultSize="0" print="0" autoFill="0" autoLine="0" autoPict="0">
                <anchor>
                  <from>
                    <xdr:col>11</xdr:col>
                    <xdr:colOff>60960</xdr:colOff>
                    <xdr:row>26</xdr:row>
                    <xdr:rowOff>121920</xdr:rowOff>
                  </from>
                  <to>
                    <xdr:col>12</xdr:col>
                    <xdr:colOff>419100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6" name="Button 89">
              <controlPr defaultSize="0" print="0" autoFill="0" autoPict="0" macro="[0]!NumberingTitle">
                <anchor moveWithCells="1" sizeWithCells="1">
                  <from>
                    <xdr:col>10</xdr:col>
                    <xdr:colOff>647700</xdr:colOff>
                    <xdr:row>29</xdr:row>
                    <xdr:rowOff>182880</xdr:rowOff>
                  </from>
                  <to>
                    <xdr:col>12</xdr:col>
                    <xdr:colOff>213360</xdr:colOff>
                    <xdr:row>31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K34"/>
  <sheetViews>
    <sheetView view="pageBreakPreview" zoomScale="85" zoomScaleNormal="100" zoomScaleSheetLayoutView="85" workbookViewId="0">
      <selection activeCell="E4" sqref="E4"/>
    </sheetView>
  </sheetViews>
  <sheetFormatPr defaultColWidth="8" defaultRowHeight="12" x14ac:dyDescent="0.2"/>
  <cols>
    <col min="1" max="1" width="0.6640625" style="101" customWidth="1"/>
    <col min="2" max="2" width="8.44140625" style="111" customWidth="1"/>
    <col min="3" max="3" width="7.88671875" style="112" customWidth="1"/>
    <col min="4" max="4" width="10.33203125" style="113" customWidth="1"/>
    <col min="5" max="7" width="8.77734375" style="112" customWidth="1"/>
    <col min="8" max="8" width="25.44140625" style="112" customWidth="1"/>
    <col min="9" max="9" width="34.21875" style="112" customWidth="1"/>
    <col min="10" max="10" width="17" style="101" customWidth="1"/>
    <col min="11" max="11" width="10.6640625" style="101" bestFit="1" customWidth="1"/>
    <col min="12" max="16384" width="8" style="101"/>
  </cols>
  <sheetData>
    <row r="1" spans="2:11" ht="19.2" x14ac:dyDescent="0.25">
      <c r="B1" s="18" t="s">
        <v>133</v>
      </c>
      <c r="C1" s="32"/>
      <c r="D1" s="33"/>
      <c r="E1" s="32"/>
      <c r="F1" s="32"/>
      <c r="G1" s="32"/>
      <c r="H1" s="32"/>
      <c r="I1" s="32"/>
      <c r="J1" s="32"/>
      <c r="K1" s="32"/>
    </row>
    <row r="3" spans="2:11" ht="15" customHeight="1" x14ac:dyDescent="0.2">
      <c r="B3" s="45" t="s">
        <v>134</v>
      </c>
      <c r="C3" s="102" t="s">
        <v>7</v>
      </c>
      <c r="D3" s="46" t="s">
        <v>1</v>
      </c>
      <c r="E3" s="47" t="s">
        <v>135</v>
      </c>
      <c r="F3" s="47" t="s">
        <v>88</v>
      </c>
      <c r="G3" s="47" t="s">
        <v>0</v>
      </c>
      <c r="H3" s="47" t="s">
        <v>136</v>
      </c>
      <c r="I3" s="47" t="s">
        <v>137</v>
      </c>
      <c r="J3" s="47" t="s">
        <v>138</v>
      </c>
      <c r="K3" s="47" t="s">
        <v>139</v>
      </c>
    </row>
    <row r="4" spans="2:11" ht="15" customHeight="1" x14ac:dyDescent="0.2">
      <c r="B4" s="70">
        <v>1</v>
      </c>
      <c r="C4" s="71" t="s">
        <v>9</v>
      </c>
      <c r="D4" s="103">
        <f>\DOC\初版発行日</f>
        <v>43466</v>
      </c>
      <c r="E4" s="72" t="str">
        <f>\DOC\初版担当者</f>
        <v>-</v>
      </c>
      <c r="F4" s="72"/>
      <c r="G4" s="72"/>
      <c r="H4" s="104"/>
      <c r="I4" s="104"/>
      <c r="J4" s="105"/>
      <c r="K4" s="105"/>
    </row>
    <row r="5" spans="2:11" ht="15" customHeight="1" x14ac:dyDescent="0.2">
      <c r="B5" s="106"/>
      <c r="C5" s="104"/>
      <c r="D5" s="107"/>
      <c r="E5" s="108"/>
      <c r="F5" s="108"/>
      <c r="G5" s="109"/>
      <c r="H5" s="104"/>
      <c r="I5" s="110"/>
      <c r="J5" s="105"/>
      <c r="K5" s="105"/>
    </row>
    <row r="6" spans="2:11" ht="15" customHeight="1" x14ac:dyDescent="0.2">
      <c r="B6" s="106"/>
      <c r="C6" s="104"/>
      <c r="D6" s="107"/>
      <c r="E6" s="108"/>
      <c r="F6" s="108"/>
      <c r="G6" s="109"/>
      <c r="H6" s="104"/>
      <c r="I6" s="110"/>
      <c r="J6" s="105"/>
      <c r="K6" s="105"/>
    </row>
    <row r="7" spans="2:11" ht="15" customHeight="1" x14ac:dyDescent="0.2">
      <c r="B7" s="106"/>
      <c r="C7" s="104"/>
      <c r="D7" s="107"/>
      <c r="E7" s="109"/>
      <c r="F7" s="109"/>
      <c r="G7" s="109"/>
      <c r="H7" s="104"/>
      <c r="I7" s="104"/>
      <c r="J7" s="105"/>
      <c r="K7" s="105"/>
    </row>
    <row r="8" spans="2:11" ht="15" customHeight="1" x14ac:dyDescent="0.2">
      <c r="B8" s="106"/>
      <c r="C8" s="104"/>
      <c r="D8" s="107"/>
      <c r="E8" s="109"/>
      <c r="F8" s="109"/>
      <c r="G8" s="109"/>
      <c r="H8" s="104"/>
      <c r="I8" s="104"/>
      <c r="J8" s="105"/>
      <c r="K8" s="105"/>
    </row>
    <row r="9" spans="2:11" ht="15" customHeight="1" x14ac:dyDescent="0.2">
      <c r="B9" s="106"/>
      <c r="C9" s="104"/>
      <c r="D9" s="107"/>
      <c r="E9" s="109"/>
      <c r="F9" s="109"/>
      <c r="G9" s="109"/>
      <c r="H9" s="104"/>
      <c r="I9" s="104"/>
      <c r="J9" s="105"/>
      <c r="K9" s="105"/>
    </row>
    <row r="10" spans="2:11" ht="15" customHeight="1" x14ac:dyDescent="0.2">
      <c r="B10" s="106"/>
      <c r="C10" s="104"/>
      <c r="D10" s="107"/>
      <c r="E10" s="109"/>
      <c r="F10" s="109"/>
      <c r="G10" s="109"/>
      <c r="H10" s="104"/>
      <c r="I10" s="104"/>
      <c r="J10" s="105"/>
      <c r="K10" s="105"/>
    </row>
    <row r="11" spans="2:11" ht="15" customHeight="1" x14ac:dyDescent="0.2">
      <c r="B11" s="106"/>
      <c r="C11" s="104"/>
      <c r="D11" s="107"/>
      <c r="E11" s="109"/>
      <c r="F11" s="109"/>
      <c r="G11" s="109"/>
      <c r="H11" s="104"/>
      <c r="I11" s="104"/>
      <c r="J11" s="105"/>
      <c r="K11" s="105"/>
    </row>
    <row r="12" spans="2:11" ht="15" customHeight="1" x14ac:dyDescent="0.2">
      <c r="B12" s="106"/>
      <c r="C12" s="104"/>
      <c r="D12" s="107"/>
      <c r="E12" s="109"/>
      <c r="F12" s="109"/>
      <c r="G12" s="109"/>
      <c r="H12" s="104"/>
      <c r="I12" s="104"/>
      <c r="J12" s="105"/>
      <c r="K12" s="105"/>
    </row>
    <row r="13" spans="2:11" ht="15" customHeight="1" x14ac:dyDescent="0.2">
      <c r="B13" s="106"/>
      <c r="C13" s="104"/>
      <c r="D13" s="107"/>
      <c r="E13" s="109"/>
      <c r="F13" s="109"/>
      <c r="G13" s="109"/>
      <c r="H13" s="104"/>
      <c r="I13" s="104"/>
      <c r="J13" s="105"/>
      <c r="K13" s="105"/>
    </row>
    <row r="14" spans="2:11" ht="15" customHeight="1" x14ac:dyDescent="0.2">
      <c r="B14" s="106"/>
      <c r="C14" s="104"/>
      <c r="D14" s="107"/>
      <c r="E14" s="109"/>
      <c r="F14" s="109"/>
      <c r="G14" s="109"/>
      <c r="H14" s="104"/>
      <c r="I14" s="104"/>
      <c r="J14" s="105"/>
      <c r="K14" s="105"/>
    </row>
    <row r="15" spans="2:11" ht="15" customHeight="1" x14ac:dyDescent="0.2">
      <c r="B15" s="106"/>
      <c r="C15" s="104"/>
      <c r="D15" s="107"/>
      <c r="E15" s="109"/>
      <c r="F15" s="109"/>
      <c r="G15" s="109"/>
      <c r="H15" s="104"/>
      <c r="I15" s="104"/>
      <c r="J15" s="105"/>
      <c r="K15" s="105"/>
    </row>
    <row r="16" spans="2:11" ht="15" customHeight="1" x14ac:dyDescent="0.2">
      <c r="B16" s="106"/>
      <c r="C16" s="104"/>
      <c r="D16" s="107"/>
      <c r="E16" s="109"/>
      <c r="F16" s="109"/>
      <c r="G16" s="109"/>
      <c r="H16" s="104"/>
      <c r="I16" s="104"/>
      <c r="J16" s="105"/>
      <c r="K16" s="105"/>
    </row>
    <row r="17" spans="2:11" ht="15" customHeight="1" x14ac:dyDescent="0.2">
      <c r="B17" s="106"/>
      <c r="C17" s="104"/>
      <c r="D17" s="107"/>
      <c r="E17" s="109"/>
      <c r="F17" s="109"/>
      <c r="G17" s="109"/>
      <c r="H17" s="104"/>
      <c r="I17" s="104"/>
      <c r="J17" s="105"/>
      <c r="K17" s="105"/>
    </row>
    <row r="18" spans="2:11" ht="15" customHeight="1" x14ac:dyDescent="0.2">
      <c r="B18" s="106"/>
      <c r="C18" s="104"/>
      <c r="D18" s="107"/>
      <c r="E18" s="109"/>
      <c r="F18" s="109"/>
      <c r="G18" s="109"/>
      <c r="H18" s="104"/>
      <c r="I18" s="104"/>
      <c r="J18" s="105"/>
      <c r="K18" s="105"/>
    </row>
    <row r="19" spans="2:11" ht="15" customHeight="1" x14ac:dyDescent="0.2">
      <c r="B19" s="106"/>
      <c r="C19" s="104"/>
      <c r="D19" s="107"/>
      <c r="E19" s="109"/>
      <c r="F19" s="109"/>
      <c r="G19" s="109"/>
      <c r="H19" s="104"/>
      <c r="I19" s="104"/>
      <c r="J19" s="105"/>
      <c r="K19" s="105"/>
    </row>
    <row r="20" spans="2:11" ht="15" customHeight="1" x14ac:dyDescent="0.2">
      <c r="B20" s="106"/>
      <c r="C20" s="104"/>
      <c r="D20" s="107"/>
      <c r="E20" s="109"/>
      <c r="F20" s="109"/>
      <c r="G20" s="109"/>
      <c r="H20" s="104"/>
      <c r="I20" s="104"/>
      <c r="J20" s="105"/>
      <c r="K20" s="105"/>
    </row>
    <row r="21" spans="2:11" ht="15" customHeight="1" x14ac:dyDescent="0.2">
      <c r="B21" s="106"/>
      <c r="C21" s="104"/>
      <c r="D21" s="107"/>
      <c r="E21" s="109"/>
      <c r="F21" s="109"/>
      <c r="G21" s="109"/>
      <c r="H21" s="104"/>
      <c r="I21" s="104"/>
      <c r="J21" s="105"/>
      <c r="K21" s="105"/>
    </row>
    <row r="22" spans="2:11" ht="15" customHeight="1" x14ac:dyDescent="0.2">
      <c r="B22" s="106"/>
      <c r="C22" s="104"/>
      <c r="D22" s="107"/>
      <c r="E22" s="109"/>
      <c r="F22" s="109"/>
      <c r="G22" s="109"/>
      <c r="H22" s="104"/>
      <c r="I22" s="104"/>
      <c r="J22" s="105"/>
      <c r="K22" s="105"/>
    </row>
    <row r="23" spans="2:11" ht="15" customHeight="1" x14ac:dyDescent="0.2">
      <c r="B23" s="106"/>
      <c r="C23" s="104"/>
      <c r="D23" s="107"/>
      <c r="E23" s="109"/>
      <c r="F23" s="109"/>
      <c r="G23" s="109"/>
      <c r="H23" s="104"/>
      <c r="I23" s="104"/>
      <c r="J23" s="105"/>
      <c r="K23" s="105"/>
    </row>
    <row r="24" spans="2:11" ht="15" customHeight="1" x14ac:dyDescent="0.2">
      <c r="B24" s="106"/>
      <c r="C24" s="104"/>
      <c r="D24" s="107"/>
      <c r="E24" s="109"/>
      <c r="F24" s="109"/>
      <c r="G24" s="109"/>
      <c r="H24" s="104"/>
      <c r="I24" s="104"/>
      <c r="J24" s="105"/>
      <c r="K24" s="105"/>
    </row>
    <row r="25" spans="2:11" ht="15" customHeight="1" x14ac:dyDescent="0.2">
      <c r="B25" s="106"/>
      <c r="C25" s="104"/>
      <c r="D25" s="107"/>
      <c r="E25" s="109"/>
      <c r="F25" s="109"/>
      <c r="G25" s="109"/>
      <c r="H25" s="104"/>
      <c r="I25" s="104"/>
      <c r="J25" s="105"/>
      <c r="K25" s="105"/>
    </row>
    <row r="26" spans="2:11" ht="15" customHeight="1" x14ac:dyDescent="0.2">
      <c r="B26" s="106"/>
      <c r="C26" s="104"/>
      <c r="D26" s="107"/>
      <c r="E26" s="109"/>
      <c r="F26" s="109"/>
      <c r="G26" s="109"/>
      <c r="H26" s="104"/>
      <c r="I26" s="104"/>
      <c r="J26" s="105"/>
      <c r="K26" s="105"/>
    </row>
    <row r="27" spans="2:11" ht="15" customHeight="1" x14ac:dyDescent="0.2">
      <c r="B27" s="106"/>
      <c r="C27" s="104"/>
      <c r="D27" s="107"/>
      <c r="E27" s="109"/>
      <c r="F27" s="109"/>
      <c r="G27" s="109"/>
      <c r="H27" s="104"/>
      <c r="I27" s="104"/>
      <c r="J27" s="105"/>
      <c r="K27" s="105"/>
    </row>
    <row r="28" spans="2:11" ht="15" customHeight="1" x14ac:dyDescent="0.2">
      <c r="B28" s="106"/>
      <c r="C28" s="104"/>
      <c r="D28" s="107"/>
      <c r="E28" s="109"/>
      <c r="F28" s="109"/>
      <c r="G28" s="109"/>
      <c r="H28" s="104"/>
      <c r="I28" s="104"/>
      <c r="J28" s="105"/>
      <c r="K28" s="105"/>
    </row>
    <row r="29" spans="2:11" ht="15" customHeight="1" x14ac:dyDescent="0.2">
      <c r="B29" s="106"/>
      <c r="C29" s="104"/>
      <c r="D29" s="107"/>
      <c r="E29" s="109"/>
      <c r="F29" s="109"/>
      <c r="G29" s="109"/>
      <c r="H29" s="104"/>
      <c r="I29" s="104"/>
      <c r="J29" s="105"/>
      <c r="K29" s="105"/>
    </row>
    <row r="30" spans="2:11" ht="15" customHeight="1" x14ac:dyDescent="0.2">
      <c r="B30" s="106"/>
      <c r="C30" s="104"/>
      <c r="D30" s="107"/>
      <c r="E30" s="109"/>
      <c r="F30" s="109"/>
      <c r="G30" s="109"/>
      <c r="H30" s="104"/>
      <c r="I30" s="104"/>
      <c r="J30" s="105"/>
      <c r="K30" s="105"/>
    </row>
    <row r="31" spans="2:11" ht="15" customHeight="1" x14ac:dyDescent="0.2">
      <c r="B31" s="106"/>
      <c r="C31" s="104"/>
      <c r="D31" s="107"/>
      <c r="E31" s="109"/>
      <c r="F31" s="109"/>
      <c r="G31" s="109"/>
      <c r="H31" s="104"/>
      <c r="I31" s="104"/>
      <c r="J31" s="105"/>
      <c r="K31" s="105"/>
    </row>
    <row r="32" spans="2:11" ht="15" customHeight="1" x14ac:dyDescent="0.2">
      <c r="B32" s="106"/>
      <c r="C32" s="104"/>
      <c r="D32" s="107"/>
      <c r="E32" s="109"/>
      <c r="F32" s="109"/>
      <c r="G32" s="109"/>
      <c r="H32" s="104"/>
      <c r="I32" s="104"/>
      <c r="J32" s="105"/>
      <c r="K32" s="105"/>
    </row>
    <row r="33" spans="2:11" ht="15" customHeight="1" x14ac:dyDescent="0.2">
      <c r="B33" s="106"/>
      <c r="C33" s="104"/>
      <c r="D33" s="107"/>
      <c r="E33" s="109"/>
      <c r="F33" s="109"/>
      <c r="G33" s="109"/>
      <c r="H33" s="104"/>
      <c r="I33" s="104"/>
      <c r="J33" s="105"/>
      <c r="K33" s="105"/>
    </row>
    <row r="34" spans="2:11" ht="15" customHeight="1" x14ac:dyDescent="0.2">
      <c r="B34" s="106"/>
      <c r="C34" s="104"/>
      <c r="D34" s="107"/>
      <c r="E34" s="109"/>
      <c r="F34" s="109"/>
      <c r="G34" s="109"/>
      <c r="H34" s="104"/>
      <c r="I34" s="104"/>
      <c r="J34" s="105"/>
      <c r="K34" s="105"/>
    </row>
  </sheetData>
  <dataConsolidate/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&amp;C&amp;"Arial,標準"&amp;6(C) 2019 Kyoritsu Electric Corporation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>
    <tabColor rgb="FF00FF00"/>
  </sheetPr>
  <dimension ref="B1:G13"/>
  <sheetViews>
    <sheetView view="pageBreakPreview" zoomScale="115" zoomScaleNormal="100" zoomScaleSheetLayoutView="115" workbookViewId="0"/>
  </sheetViews>
  <sheetFormatPr defaultColWidth="9" defaultRowHeight="12" x14ac:dyDescent="0.2"/>
  <cols>
    <col min="1" max="1" width="0.6640625" style="153" customWidth="1"/>
    <col min="2" max="2" width="1.88671875" style="154" customWidth="1"/>
    <col min="3" max="3" width="8.109375" style="155" customWidth="1"/>
    <col min="4" max="4" width="8.109375" style="156" customWidth="1"/>
    <col min="5" max="5" width="8.109375" style="155" customWidth="1"/>
    <col min="6" max="6" width="65" style="155" customWidth="1"/>
    <col min="7" max="7" width="17" style="153" customWidth="1"/>
    <col min="8" max="8" width="0.44140625" style="153" customWidth="1"/>
    <col min="9" max="16384" width="9" style="153"/>
  </cols>
  <sheetData>
    <row r="1" spans="2:7" x14ac:dyDescent="0.15">
      <c r="B1" s="150" t="s">
        <v>14</v>
      </c>
      <c r="C1" s="151"/>
      <c r="D1" s="152"/>
      <c r="E1" s="151"/>
      <c r="F1" s="151"/>
      <c r="G1" s="47" t="s">
        <v>179</v>
      </c>
    </row>
    <row r="2" spans="2:7" x14ac:dyDescent="0.2">
      <c r="G2" s="157">
        <v>14</v>
      </c>
    </row>
    <row r="3" spans="2:7" ht="15" customHeight="1" x14ac:dyDescent="0.2">
      <c r="B3" s="48"/>
      <c r="C3" s="49" t="s">
        <v>16</v>
      </c>
      <c r="D3" s="50"/>
      <c r="E3" s="51"/>
      <c r="F3" s="52"/>
      <c r="G3" s="47" t="s">
        <v>15</v>
      </c>
    </row>
    <row r="4" spans="2:7" ht="15" customHeight="1" x14ac:dyDescent="0.2">
      <c r="B4" s="158"/>
      <c r="C4" s="159" t="s">
        <v>17</v>
      </c>
      <c r="D4" s="159"/>
      <c r="E4" s="159"/>
      <c r="F4" s="160"/>
      <c r="G4" s="200">
        <v>1</v>
      </c>
    </row>
    <row r="5" spans="2:7" ht="15" customHeight="1" x14ac:dyDescent="0.2">
      <c r="B5" s="158"/>
      <c r="C5" s="159" t="s">
        <v>63</v>
      </c>
      <c r="D5" s="159"/>
      <c r="E5" s="159"/>
      <c r="F5" s="160"/>
      <c r="G5" s="200">
        <v>2</v>
      </c>
    </row>
    <row r="6" spans="2:7" ht="15" customHeight="1" x14ac:dyDescent="0.2">
      <c r="B6" s="158"/>
      <c r="C6" s="159" t="s">
        <v>64</v>
      </c>
      <c r="D6" s="159"/>
      <c r="E6" s="159"/>
      <c r="F6" s="160"/>
      <c r="G6" s="200">
        <v>3</v>
      </c>
    </row>
    <row r="7" spans="2:7" ht="15" customHeight="1" x14ac:dyDescent="0.2">
      <c r="B7" s="158"/>
      <c r="C7" s="159" t="s">
        <v>65</v>
      </c>
      <c r="D7" s="159"/>
      <c r="E7" s="159"/>
      <c r="F7" s="160"/>
      <c r="G7" s="200">
        <v>4</v>
      </c>
    </row>
    <row r="8" spans="2:7" ht="15" customHeight="1" x14ac:dyDescent="0.2">
      <c r="B8" s="158"/>
      <c r="C8" s="159" t="s">
        <v>66</v>
      </c>
      <c r="D8" s="159"/>
      <c r="E8" s="159"/>
      <c r="F8" s="160"/>
      <c r="G8" s="200">
        <v>5</v>
      </c>
    </row>
    <row r="9" spans="2:7" ht="15" customHeight="1" x14ac:dyDescent="0.2">
      <c r="B9" s="158"/>
      <c r="C9" s="159" t="s">
        <v>200</v>
      </c>
      <c r="D9" s="159"/>
      <c r="E9" s="159"/>
      <c r="F9" s="160"/>
      <c r="G9" s="200">
        <v>6</v>
      </c>
    </row>
    <row r="10" spans="2:7" ht="15" customHeight="1" x14ac:dyDescent="0.2">
      <c r="B10" s="158"/>
      <c r="C10" s="159" t="s">
        <v>160</v>
      </c>
      <c r="D10" s="159"/>
      <c r="E10" s="159"/>
      <c r="F10" s="160"/>
      <c r="G10" s="200">
        <v>7</v>
      </c>
    </row>
    <row r="11" spans="2:7" ht="15" customHeight="1" x14ac:dyDescent="0.2">
      <c r="B11" s="158"/>
      <c r="C11" s="159"/>
      <c r="D11" s="159" t="s">
        <v>205</v>
      </c>
      <c r="E11" s="159"/>
      <c r="F11" s="160"/>
      <c r="G11" s="200">
        <v>7</v>
      </c>
    </row>
    <row r="12" spans="2:7" ht="15" customHeight="1" x14ac:dyDescent="0.2">
      <c r="B12" s="158"/>
      <c r="C12" s="159"/>
      <c r="D12" s="159"/>
      <c r="E12" s="159" t="s">
        <v>206</v>
      </c>
      <c r="F12" s="160"/>
      <c r="G12" s="200">
        <v>7</v>
      </c>
    </row>
    <row r="13" spans="2:7" ht="15" customHeight="1" x14ac:dyDescent="0.2">
      <c r="B13" s="158"/>
      <c r="C13" s="159" t="s">
        <v>161</v>
      </c>
      <c r="D13" s="159"/>
      <c r="E13" s="159"/>
      <c r="F13" s="160"/>
      <c r="G13" s="200">
        <v>14</v>
      </c>
    </row>
  </sheetData>
  <dataConsolidate/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&amp;C&amp;"Arial,標準"&amp;6(C) 2019 Kyoritsu Electric Corporation All Rights Reserved.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C00000"/>
  </sheetPr>
  <dimension ref="A1:BK43"/>
  <sheetViews>
    <sheetView view="pageBreakPreview" zoomScale="85" zoomScaleNormal="80" zoomScaleSheetLayoutView="85" workbookViewId="0">
      <selection activeCell="AG11" sqref="AG11"/>
    </sheetView>
  </sheetViews>
  <sheetFormatPr defaultColWidth="2.21875" defaultRowHeight="13.5" customHeight="1" x14ac:dyDescent="0.2"/>
  <cols>
    <col min="1" max="1" width="0.6640625" style="19" customWidth="1"/>
    <col min="2" max="62" width="2.21875" style="19" customWidth="1"/>
    <col min="63" max="63" width="1.21875" style="19" customWidth="1"/>
    <col min="64" max="64" width="0.6640625" style="19" customWidth="1"/>
    <col min="65" max="16384" width="2.21875" style="19"/>
  </cols>
  <sheetData>
    <row r="1" spans="1:63" ht="13.5" customHeight="1" x14ac:dyDescent="0.2">
      <c r="A1" s="20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3" ht="13.5" customHeight="1" x14ac:dyDescent="0.2">
      <c r="A2" s="20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3" s="23" customFormat="1" ht="13.5" customHeight="1" x14ac:dyDescent="0.2">
      <c r="A3" s="22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3" s="23" customFormat="1" ht="13.5" customHeight="1" x14ac:dyDescent="0.2">
      <c r="A4" s="22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3" s="23" customFormat="1" ht="4.5" customHeight="1" x14ac:dyDescent="0.2">
      <c r="A5" s="22"/>
      <c r="B5" s="15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53"/>
    </row>
    <row r="6" spans="1:63" s="23" customFormat="1" ht="13.5" customHeight="1" x14ac:dyDescent="0.2">
      <c r="A6" s="22"/>
      <c r="B6" s="40"/>
      <c r="C6" s="41"/>
      <c r="D6" s="41"/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s="23" customFormat="1" ht="13.5" customHeight="1" x14ac:dyDescent="0.2">
      <c r="A7" s="22"/>
      <c r="B7" s="24"/>
      <c r="C7" s="161" t="s">
        <v>95</v>
      </c>
      <c r="D7" s="22"/>
      <c r="E7" s="22"/>
      <c r="F7" s="22"/>
      <c r="G7" s="22" t="str">
        <f>\DOC\契約先名 &amp; "殿向け" &amp; "  " &amp; \DOC\システム名 &amp; " の検査記録方法及び結果を記載したものとなります。"</f>
        <v>○○○○株式会社殿向け  ○○○○システム の検査記録方法及び結果を記載したものとなります。</v>
      </c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5"/>
    </row>
    <row r="8" spans="1:63" s="23" customFormat="1" ht="13.5" customHeight="1" x14ac:dyDescent="0.2">
      <c r="A8" s="22"/>
      <c r="B8" s="24"/>
      <c r="C8" s="161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s="23" customFormat="1" ht="13.5" customHeight="1" x14ac:dyDescent="0.2">
      <c r="A9" s="22"/>
      <c r="B9" s="24"/>
      <c r="C9" s="161"/>
      <c r="D9" s="22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s="23" customFormat="1" ht="13.5" customHeight="1" x14ac:dyDescent="0.2">
      <c r="A10" s="22"/>
      <c r="B10" s="24"/>
      <c r="C10" s="22"/>
      <c r="D10" s="22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5"/>
    </row>
    <row r="11" spans="1:63" s="23" customFormat="1" ht="13.5" customHeight="1" x14ac:dyDescent="0.2">
      <c r="A11" s="22"/>
      <c r="B11" s="24"/>
      <c r="C11" s="161"/>
      <c r="D11" s="161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5"/>
    </row>
    <row r="12" spans="1:63" s="23" customFormat="1" ht="13.5" customHeight="1" x14ac:dyDescent="0.2">
      <c r="A12" s="22"/>
      <c r="B12" s="24"/>
      <c r="C12" s="22"/>
      <c r="D12" s="22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5"/>
    </row>
    <row r="13" spans="1:63" s="23" customFormat="1" ht="13.5" customHeight="1" x14ac:dyDescent="0.2">
      <c r="A13" s="22"/>
      <c r="B13" s="24"/>
      <c r="C13" s="22"/>
      <c r="D13" s="22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5"/>
    </row>
    <row r="14" spans="1:63" s="23" customFormat="1" ht="13.5" customHeight="1" x14ac:dyDescent="0.2">
      <c r="A14" s="22"/>
      <c r="B14" s="24"/>
      <c r="C14" s="22"/>
      <c r="D14" s="22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5"/>
    </row>
    <row r="15" spans="1:63" s="23" customFormat="1" ht="13.5" customHeight="1" x14ac:dyDescent="0.2">
      <c r="A15" s="22"/>
      <c r="B15" s="24"/>
      <c r="C15" s="22"/>
      <c r="D15" s="161"/>
      <c r="E15" s="153"/>
      <c r="F15" s="153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5"/>
    </row>
    <row r="16" spans="1:63" s="23" customFormat="1" ht="13.5" customHeight="1" x14ac:dyDescent="0.2">
      <c r="A16" s="22"/>
      <c r="B16" s="24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5"/>
    </row>
    <row r="17" spans="1:63" s="23" customFormat="1" ht="13.5" customHeight="1" x14ac:dyDescent="0.2">
      <c r="A17" s="22"/>
      <c r="B17" s="24"/>
      <c r="C17" s="22"/>
      <c r="D17" s="22"/>
      <c r="E17" s="22"/>
      <c r="F17" s="22"/>
      <c r="G17" s="161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5"/>
    </row>
    <row r="18" spans="1:63" s="23" customFormat="1" ht="13.5" customHeight="1" x14ac:dyDescent="0.2">
      <c r="A18" s="22"/>
      <c r="B18" s="24"/>
      <c r="C18" s="22"/>
      <c r="D18" s="22"/>
      <c r="E18" s="22"/>
      <c r="F18" s="22"/>
      <c r="G18" s="161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5"/>
    </row>
    <row r="19" spans="1:63" s="23" customFormat="1" ht="13.5" customHeight="1" x14ac:dyDescent="0.2">
      <c r="A19" s="22"/>
      <c r="B19" s="24"/>
      <c r="C19" s="22"/>
      <c r="D19" s="22"/>
      <c r="E19" s="22"/>
      <c r="F19" s="22"/>
      <c r="G19" s="161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5"/>
    </row>
    <row r="20" spans="1:63" s="23" customFormat="1" ht="13.5" customHeight="1" x14ac:dyDescent="0.2">
      <c r="A20" s="22"/>
      <c r="B20" s="24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5"/>
    </row>
    <row r="21" spans="1:63" s="23" customFormat="1" ht="13.5" customHeight="1" x14ac:dyDescent="0.2">
      <c r="A21" s="22"/>
      <c r="B21" s="24"/>
      <c r="C21" s="22"/>
      <c r="D21" s="161"/>
      <c r="E21" s="153"/>
      <c r="F21" s="153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5"/>
    </row>
    <row r="22" spans="1:63" s="23" customFormat="1" ht="13.5" customHeight="1" x14ac:dyDescent="0.2">
      <c r="A22" s="22"/>
      <c r="B22" s="24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5"/>
    </row>
    <row r="23" spans="1:63" s="23" customFormat="1" ht="13.5" customHeight="1" x14ac:dyDescent="0.2">
      <c r="A23" s="22"/>
      <c r="B23" s="24"/>
      <c r="C23" s="22"/>
      <c r="D23" s="22"/>
      <c r="E23" s="22"/>
      <c r="F23" s="22"/>
      <c r="G23" s="161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5"/>
    </row>
    <row r="24" spans="1:63" s="23" customFormat="1" ht="13.5" customHeight="1" x14ac:dyDescent="0.2">
      <c r="A24" s="22"/>
      <c r="B24" s="24"/>
      <c r="C24" s="22"/>
      <c r="D24" s="22"/>
      <c r="E24" s="22"/>
      <c r="F24" s="22"/>
      <c r="G24" s="161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5"/>
    </row>
    <row r="25" spans="1:63" s="23" customFormat="1" ht="13.5" customHeight="1" x14ac:dyDescent="0.2">
      <c r="A25" s="22"/>
      <c r="B25" s="24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5"/>
    </row>
    <row r="26" spans="1:63" s="23" customFormat="1" ht="13.5" customHeight="1" x14ac:dyDescent="0.2">
      <c r="A26" s="22"/>
      <c r="B26" s="24"/>
      <c r="C26" s="22"/>
      <c r="D26" s="161"/>
      <c r="E26" s="153"/>
      <c r="F26" s="153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5"/>
    </row>
    <row r="27" spans="1:63" s="23" customFormat="1" ht="13.5" customHeight="1" x14ac:dyDescent="0.2">
      <c r="A27" s="22"/>
      <c r="B27" s="2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5"/>
    </row>
    <row r="28" spans="1:63" s="23" customFormat="1" ht="13.5" customHeight="1" x14ac:dyDescent="0.2">
      <c r="A28" s="22"/>
      <c r="B28" s="24"/>
      <c r="C28" s="22"/>
      <c r="D28" s="22"/>
      <c r="E28" s="22"/>
      <c r="F28" s="22"/>
      <c r="G28" s="161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2"/>
      <c r="BK28" s="25"/>
    </row>
    <row r="29" spans="1:63" s="23" customFormat="1" ht="13.5" customHeight="1" x14ac:dyDescent="0.2">
      <c r="A29" s="22"/>
      <c r="B29" s="24"/>
      <c r="C29" s="22"/>
      <c r="D29" s="22"/>
      <c r="E29" s="22"/>
      <c r="F29" s="22"/>
      <c r="G29" s="161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2"/>
      <c r="BK29" s="25"/>
    </row>
    <row r="30" spans="1:63" s="23" customFormat="1" ht="13.5" customHeight="1" x14ac:dyDescent="0.2">
      <c r="A30" s="22"/>
      <c r="B30" s="24"/>
      <c r="C30" s="22"/>
      <c r="D30" s="22"/>
      <c r="E30" s="22"/>
      <c r="F30" s="22"/>
      <c r="G30" s="161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2"/>
      <c r="BK30" s="25"/>
    </row>
    <row r="31" spans="1:63" s="23" customFormat="1" ht="13.5" customHeight="1" x14ac:dyDescent="0.2">
      <c r="A31" s="22"/>
      <c r="B31" s="24"/>
      <c r="C31" s="22"/>
      <c r="D31" s="22"/>
      <c r="E31" s="22"/>
      <c r="F31" s="22"/>
      <c r="G31" s="22"/>
      <c r="H31" s="22"/>
      <c r="I31" s="161"/>
      <c r="J31" s="22"/>
      <c r="K31" s="22"/>
      <c r="L31" s="22"/>
      <c r="M31" s="22"/>
      <c r="N31" s="22"/>
      <c r="O31" s="161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2"/>
      <c r="BK31" s="25"/>
    </row>
    <row r="32" spans="1:63" s="23" customFormat="1" ht="13.5" customHeight="1" x14ac:dyDescent="0.2">
      <c r="A32" s="22"/>
      <c r="B32" s="24"/>
      <c r="C32" s="22"/>
      <c r="D32" s="22"/>
      <c r="E32" s="22"/>
      <c r="F32" s="22"/>
      <c r="G32" s="22"/>
      <c r="H32" s="22"/>
      <c r="I32" s="161"/>
      <c r="J32" s="22"/>
      <c r="K32" s="22"/>
      <c r="L32" s="22"/>
      <c r="M32" s="22"/>
      <c r="N32" s="22"/>
      <c r="O32" s="161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5"/>
    </row>
    <row r="33" spans="1:63" s="23" customFormat="1" ht="13.5" customHeight="1" x14ac:dyDescent="0.2">
      <c r="A33" s="22"/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5"/>
    </row>
    <row r="34" spans="1:63" s="23" customFormat="1" ht="13.5" customHeight="1" x14ac:dyDescent="0.2">
      <c r="A34" s="22"/>
      <c r="B34" s="24"/>
      <c r="C34" s="22"/>
      <c r="D34" s="22"/>
      <c r="E34" s="22"/>
      <c r="F34" s="22"/>
      <c r="G34" s="22"/>
      <c r="H34" s="22"/>
      <c r="I34" s="161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5"/>
    </row>
    <row r="35" spans="1:63" s="23" customFormat="1" ht="13.5" customHeight="1" x14ac:dyDescent="0.2">
      <c r="A35" s="22"/>
      <c r="B35" s="2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5"/>
    </row>
    <row r="36" spans="1:63" s="23" customFormat="1" ht="13.5" customHeight="1" x14ac:dyDescent="0.2">
      <c r="A36" s="22"/>
      <c r="B36" s="24"/>
      <c r="C36" s="22"/>
      <c r="D36" s="161"/>
      <c r="E36" s="153"/>
      <c r="F36" s="153"/>
      <c r="G36" s="161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5"/>
    </row>
    <row r="37" spans="1:63" s="23" customFormat="1" ht="13.5" customHeight="1" x14ac:dyDescent="0.2">
      <c r="A37" s="22"/>
      <c r="B37" s="24"/>
      <c r="C37" s="22"/>
      <c r="D37" s="22"/>
      <c r="E37" s="22"/>
      <c r="F37" s="22"/>
      <c r="G37" s="161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1:63" s="23" customFormat="1" ht="13.5" customHeight="1" x14ac:dyDescent="0.2">
      <c r="A38" s="22"/>
      <c r="B38" s="24"/>
      <c r="C38" s="22"/>
      <c r="D38" s="22"/>
      <c r="E38" s="22"/>
      <c r="F38" s="22"/>
      <c r="G38" s="161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1:63" s="23" customFormat="1" ht="13.5" customHeight="1" x14ac:dyDescent="0.2">
      <c r="A39" s="22"/>
      <c r="B39" s="24"/>
      <c r="C39" s="22"/>
      <c r="D39" s="22"/>
      <c r="E39" s="22"/>
      <c r="F39" s="22"/>
      <c r="G39" s="161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1:63" s="23" customFormat="1" ht="13.5" customHeight="1" x14ac:dyDescent="0.2">
      <c r="A40" s="22"/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  <row r="41" spans="1:63" ht="13.5" customHeight="1" x14ac:dyDescent="0.2">
      <c r="A41" s="20"/>
    </row>
    <row r="42" spans="1:63" ht="13.5" customHeight="1" x14ac:dyDescent="0.2">
      <c r="A42" s="20"/>
    </row>
    <row r="43" spans="1:63" ht="13.5" customHeight="1" x14ac:dyDescent="0.2">
      <c r="A43" s="20"/>
    </row>
  </sheetData>
  <dataConsolidate/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fitToWidth="0" fitToHeight="0" orientation="landscape" useFirstPageNumber="1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C00000"/>
  </sheetPr>
  <dimension ref="A1:BK40"/>
  <sheetViews>
    <sheetView view="pageBreakPreview" zoomScale="85" zoomScaleNormal="100" zoomScaleSheetLayoutView="85" workbookViewId="0">
      <selection activeCell="D7" sqref="D7"/>
    </sheetView>
  </sheetViews>
  <sheetFormatPr defaultColWidth="2.21875" defaultRowHeight="13.5" customHeight="1" x14ac:dyDescent="0.2"/>
  <cols>
    <col min="1" max="1" width="0.6640625" style="19" customWidth="1"/>
    <col min="2" max="62" width="2.21875" style="19" customWidth="1"/>
    <col min="63" max="63" width="1.21875" style="19" customWidth="1"/>
    <col min="64" max="64" width="0.6640625" style="19" customWidth="1"/>
    <col min="65" max="16384" width="2.21875" style="19"/>
  </cols>
  <sheetData>
    <row r="1" spans="1:63" ht="13.5" customHeight="1" x14ac:dyDescent="0.2">
      <c r="A1" s="20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3" ht="13.5" customHeight="1" x14ac:dyDescent="0.2">
      <c r="A2" s="20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3" s="23" customFormat="1" ht="13.5" customHeight="1" x14ac:dyDescent="0.2">
      <c r="A3" s="22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3" s="23" customFormat="1" ht="13.5" customHeight="1" x14ac:dyDescent="0.2">
      <c r="A4" s="22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3" s="23" customFormat="1" ht="4.5" customHeight="1" x14ac:dyDescent="0.2">
      <c r="A5" s="22"/>
      <c r="B5" s="15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53"/>
    </row>
    <row r="6" spans="1:63" s="23" customFormat="1" ht="13.5" customHeight="1" x14ac:dyDescent="0.2">
      <c r="A6" s="22"/>
      <c r="B6" s="40"/>
      <c r="C6" s="41"/>
      <c r="D6" s="41"/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s="23" customFormat="1" ht="13.5" customHeight="1" x14ac:dyDescent="0.2">
      <c r="A7" s="22"/>
      <c r="B7" s="24"/>
      <c r="C7" s="161"/>
      <c r="D7" s="161" t="str">
        <f>"設計書に基づき、" &amp; \DOC\システム名 &amp; "が正しく構築されていることを確認します。"</f>
        <v>設計書に基づき、○○○○システムが正しく構築されていることを確認します。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5"/>
    </row>
    <row r="8" spans="1:63" s="23" customFormat="1" ht="13.5" customHeight="1" x14ac:dyDescent="0.2">
      <c r="A8" s="22"/>
      <c r="B8" s="24"/>
      <c r="C8" s="161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s="23" customFormat="1" ht="13.5" customHeight="1" x14ac:dyDescent="0.2">
      <c r="A9" s="22"/>
      <c r="B9" s="24"/>
      <c r="C9" s="22"/>
      <c r="D9" s="22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s="23" customFormat="1" ht="13.5" customHeight="1" x14ac:dyDescent="0.2">
      <c r="A10" s="22"/>
      <c r="B10" s="24"/>
      <c r="C10" s="22"/>
      <c r="D10" s="22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5"/>
    </row>
    <row r="11" spans="1:63" s="23" customFormat="1" ht="13.5" customHeight="1" x14ac:dyDescent="0.2">
      <c r="A11" s="22"/>
      <c r="B11" s="24"/>
      <c r="C11" s="161"/>
      <c r="D11" s="161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5"/>
    </row>
    <row r="12" spans="1:63" s="23" customFormat="1" ht="13.5" customHeight="1" x14ac:dyDescent="0.2">
      <c r="A12" s="22"/>
      <c r="B12" s="24"/>
      <c r="C12" s="22"/>
      <c r="D12" s="22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5"/>
    </row>
    <row r="13" spans="1:63" s="23" customFormat="1" ht="13.5" customHeight="1" x14ac:dyDescent="0.2">
      <c r="A13" s="22"/>
      <c r="B13" s="24"/>
      <c r="C13" s="22"/>
      <c r="D13" s="22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5"/>
    </row>
    <row r="14" spans="1:63" s="23" customFormat="1" ht="13.5" customHeight="1" x14ac:dyDescent="0.2">
      <c r="A14" s="22"/>
      <c r="B14" s="24"/>
      <c r="C14" s="22"/>
      <c r="D14" s="22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5"/>
    </row>
    <row r="15" spans="1:63" s="23" customFormat="1" ht="13.5" customHeight="1" x14ac:dyDescent="0.2">
      <c r="A15" s="22"/>
      <c r="B15" s="24"/>
      <c r="C15" s="22"/>
      <c r="D15" s="161"/>
      <c r="E15" s="153"/>
      <c r="F15" s="153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5"/>
    </row>
    <row r="16" spans="1:63" s="23" customFormat="1" ht="13.5" customHeight="1" x14ac:dyDescent="0.2">
      <c r="A16" s="22"/>
      <c r="B16" s="24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5"/>
    </row>
    <row r="17" spans="1:63" s="23" customFormat="1" ht="13.5" customHeight="1" x14ac:dyDescent="0.2">
      <c r="A17" s="22"/>
      <c r="B17" s="24"/>
      <c r="C17" s="22"/>
      <c r="D17" s="22"/>
      <c r="E17" s="22"/>
      <c r="F17" s="22"/>
      <c r="G17" s="161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5"/>
    </row>
    <row r="18" spans="1:63" s="23" customFormat="1" ht="13.5" customHeight="1" x14ac:dyDescent="0.2">
      <c r="A18" s="22"/>
      <c r="B18" s="24"/>
      <c r="C18" s="22"/>
      <c r="D18" s="22"/>
      <c r="E18" s="22"/>
      <c r="F18" s="22"/>
      <c r="G18" s="161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5"/>
    </row>
    <row r="19" spans="1:63" s="23" customFormat="1" ht="13.5" customHeight="1" x14ac:dyDescent="0.2">
      <c r="A19" s="22"/>
      <c r="B19" s="24"/>
      <c r="C19" s="22"/>
      <c r="D19" s="22"/>
      <c r="E19" s="22"/>
      <c r="F19" s="22"/>
      <c r="G19" s="161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5"/>
    </row>
    <row r="20" spans="1:63" s="23" customFormat="1" ht="13.5" customHeight="1" x14ac:dyDescent="0.2">
      <c r="A20" s="22"/>
      <c r="B20" s="24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5"/>
    </row>
    <row r="21" spans="1:63" s="23" customFormat="1" ht="13.5" customHeight="1" x14ac:dyDescent="0.2">
      <c r="A21" s="22"/>
      <c r="B21" s="24"/>
      <c r="C21" s="22"/>
      <c r="D21" s="161"/>
      <c r="E21" s="153"/>
      <c r="F21" s="153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5"/>
    </row>
    <row r="22" spans="1:63" s="23" customFormat="1" ht="13.5" customHeight="1" x14ac:dyDescent="0.2">
      <c r="A22" s="22"/>
      <c r="B22" s="24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5"/>
    </row>
    <row r="23" spans="1:63" s="23" customFormat="1" ht="13.5" customHeight="1" x14ac:dyDescent="0.2">
      <c r="A23" s="22"/>
      <c r="B23" s="24"/>
      <c r="C23" s="22"/>
      <c r="D23" s="22"/>
      <c r="E23" s="22"/>
      <c r="F23" s="22"/>
      <c r="G23" s="161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5"/>
    </row>
    <row r="24" spans="1:63" s="23" customFormat="1" ht="13.5" customHeight="1" x14ac:dyDescent="0.2">
      <c r="A24" s="22"/>
      <c r="B24" s="24"/>
      <c r="C24" s="22"/>
      <c r="D24" s="22"/>
      <c r="E24" s="22"/>
      <c r="F24" s="22"/>
      <c r="G24" s="161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5"/>
    </row>
    <row r="25" spans="1:63" s="23" customFormat="1" ht="13.5" customHeight="1" x14ac:dyDescent="0.2">
      <c r="A25" s="22"/>
      <c r="B25" s="24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5"/>
    </row>
    <row r="26" spans="1:63" s="23" customFormat="1" ht="13.5" customHeight="1" x14ac:dyDescent="0.2">
      <c r="A26" s="22"/>
      <c r="B26" s="24"/>
      <c r="C26" s="22"/>
      <c r="D26" s="161"/>
      <c r="E26" s="153"/>
      <c r="F26" s="153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5"/>
    </row>
    <row r="27" spans="1:63" s="23" customFormat="1" ht="13.5" customHeight="1" x14ac:dyDescent="0.2">
      <c r="A27" s="22"/>
      <c r="B27" s="2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5"/>
    </row>
    <row r="28" spans="1:63" s="23" customFormat="1" ht="13.5" customHeight="1" x14ac:dyDescent="0.2">
      <c r="A28" s="22"/>
      <c r="B28" s="24"/>
      <c r="C28" s="22"/>
      <c r="D28" s="22"/>
      <c r="E28" s="22"/>
      <c r="F28" s="22"/>
      <c r="G28" s="161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2"/>
      <c r="BK28" s="25"/>
    </row>
    <row r="29" spans="1:63" s="23" customFormat="1" ht="13.5" customHeight="1" x14ac:dyDescent="0.2">
      <c r="A29" s="22"/>
      <c r="B29" s="24"/>
      <c r="C29" s="22"/>
      <c r="D29" s="22"/>
      <c r="E29" s="22"/>
      <c r="F29" s="22"/>
      <c r="G29" s="161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2"/>
      <c r="BK29" s="25"/>
    </row>
    <row r="30" spans="1:63" s="23" customFormat="1" ht="13.5" customHeight="1" x14ac:dyDescent="0.2">
      <c r="A30" s="22"/>
      <c r="B30" s="24"/>
      <c r="C30" s="22"/>
      <c r="D30" s="22"/>
      <c r="E30" s="22"/>
      <c r="F30" s="22"/>
      <c r="G30" s="161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2"/>
      <c r="BK30" s="25"/>
    </row>
    <row r="31" spans="1:63" s="23" customFormat="1" ht="13.5" customHeight="1" x14ac:dyDescent="0.2">
      <c r="A31" s="22"/>
      <c r="B31" s="24"/>
      <c r="C31" s="22"/>
      <c r="D31" s="22"/>
      <c r="E31" s="22"/>
      <c r="F31" s="22"/>
      <c r="G31" s="22"/>
      <c r="H31" s="22"/>
      <c r="I31" s="161"/>
      <c r="J31" s="22"/>
      <c r="K31" s="22"/>
      <c r="L31" s="22"/>
      <c r="M31" s="22"/>
      <c r="N31" s="22"/>
      <c r="O31" s="161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2"/>
      <c r="BK31" s="25"/>
    </row>
    <row r="32" spans="1:63" s="23" customFormat="1" ht="13.5" customHeight="1" x14ac:dyDescent="0.2">
      <c r="A32" s="22"/>
      <c r="B32" s="24"/>
      <c r="C32" s="22"/>
      <c r="D32" s="22"/>
      <c r="E32" s="22"/>
      <c r="F32" s="22"/>
      <c r="G32" s="22"/>
      <c r="H32" s="22"/>
      <c r="I32" s="161"/>
      <c r="J32" s="22"/>
      <c r="K32" s="22"/>
      <c r="L32" s="22"/>
      <c r="M32" s="22"/>
      <c r="N32" s="22"/>
      <c r="O32" s="161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5"/>
    </row>
    <row r="33" spans="1:63" s="23" customFormat="1" ht="13.5" customHeight="1" x14ac:dyDescent="0.2">
      <c r="A33" s="22"/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5"/>
    </row>
    <row r="34" spans="1:63" s="23" customFormat="1" ht="13.5" customHeight="1" x14ac:dyDescent="0.2">
      <c r="A34" s="22"/>
      <c r="B34" s="24"/>
      <c r="C34" s="22"/>
      <c r="D34" s="22"/>
      <c r="E34" s="22"/>
      <c r="F34" s="22"/>
      <c r="G34" s="22"/>
      <c r="H34" s="22"/>
      <c r="I34" s="161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5"/>
    </row>
    <row r="35" spans="1:63" s="23" customFormat="1" ht="13.5" customHeight="1" x14ac:dyDescent="0.2">
      <c r="A35" s="22"/>
      <c r="B35" s="2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5"/>
    </row>
    <row r="36" spans="1:63" s="23" customFormat="1" ht="13.5" customHeight="1" x14ac:dyDescent="0.2">
      <c r="A36" s="22"/>
      <c r="B36" s="24"/>
      <c r="C36" s="22"/>
      <c r="D36" s="161"/>
      <c r="E36" s="153"/>
      <c r="F36" s="153"/>
      <c r="G36" s="161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5"/>
    </row>
    <row r="37" spans="1:63" s="23" customFormat="1" ht="13.5" customHeight="1" x14ac:dyDescent="0.2">
      <c r="A37" s="22"/>
      <c r="B37" s="24"/>
      <c r="C37" s="22"/>
      <c r="D37" s="22"/>
      <c r="E37" s="22"/>
      <c r="F37" s="22"/>
      <c r="G37" s="161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1:63" s="23" customFormat="1" ht="13.5" customHeight="1" x14ac:dyDescent="0.2">
      <c r="A38" s="22"/>
      <c r="B38" s="24"/>
      <c r="C38" s="22"/>
      <c r="D38" s="22"/>
      <c r="E38" s="22"/>
      <c r="F38" s="22"/>
      <c r="G38" s="161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1:63" s="23" customFormat="1" ht="13.5" customHeight="1" x14ac:dyDescent="0.2">
      <c r="A39" s="22"/>
      <c r="B39" s="24"/>
      <c r="C39" s="22"/>
      <c r="D39" s="22"/>
      <c r="E39" s="22"/>
      <c r="F39" s="22"/>
      <c r="G39" s="161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1:63" s="23" customFormat="1" ht="13.5" customHeight="1" x14ac:dyDescent="0.2">
      <c r="A40" s="22"/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</sheetData>
  <dataConsolidate/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>
    <tabColor rgb="FFFF0000"/>
  </sheetPr>
  <dimension ref="A1:BK40"/>
  <sheetViews>
    <sheetView view="pageBreakPreview" zoomScale="85" zoomScaleNormal="100" zoomScaleSheetLayoutView="85" workbookViewId="0">
      <selection activeCell="T49" sqref="T49"/>
    </sheetView>
  </sheetViews>
  <sheetFormatPr defaultColWidth="2.21875" defaultRowHeight="13.5" customHeight="1" x14ac:dyDescent="0.2"/>
  <cols>
    <col min="1" max="1" width="0.6640625" style="19" customWidth="1"/>
    <col min="2" max="62" width="2.21875" style="19" customWidth="1"/>
    <col min="63" max="63" width="1.21875" style="19" customWidth="1"/>
    <col min="64" max="64" width="0.6640625" style="19" customWidth="1"/>
    <col min="65" max="16384" width="2.21875" style="19"/>
  </cols>
  <sheetData>
    <row r="1" spans="1:63" ht="13.5" customHeight="1" x14ac:dyDescent="0.2">
      <c r="A1" s="20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3" ht="13.5" customHeight="1" x14ac:dyDescent="0.2">
      <c r="A2" s="20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3" s="23" customFormat="1" ht="13.5" customHeight="1" x14ac:dyDescent="0.2">
      <c r="A3" s="22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3" s="23" customFormat="1" ht="13.5" customHeight="1" x14ac:dyDescent="0.2">
      <c r="A4" s="22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3" s="23" customFormat="1" ht="4.5" customHeight="1" x14ac:dyDescent="0.2">
      <c r="A5" s="22"/>
      <c r="B5" s="15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53"/>
    </row>
    <row r="6" spans="1:63" ht="13.5" customHeight="1" x14ac:dyDescent="0.2">
      <c r="A6" s="20"/>
      <c r="B6" s="40"/>
      <c r="C6" s="41"/>
      <c r="D6" s="41"/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ht="13.5" customHeight="1" x14ac:dyDescent="0.2">
      <c r="A7" s="20"/>
      <c r="B7" s="24"/>
      <c r="C7" s="161"/>
      <c r="D7" s="161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5"/>
    </row>
    <row r="8" spans="1:63" ht="13.5" customHeight="1" x14ac:dyDescent="0.2">
      <c r="A8" s="20"/>
      <c r="B8" s="24"/>
      <c r="C8" s="161"/>
      <c r="D8" s="161" t="s">
        <v>213</v>
      </c>
      <c r="E8" s="161" t="s">
        <v>96</v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ht="13.5" customHeight="1" x14ac:dyDescent="0.2">
      <c r="B9" s="24"/>
      <c r="C9" s="22"/>
      <c r="D9" s="22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ht="13.5" customHeight="1" x14ac:dyDescent="0.2">
      <c r="B10" s="24"/>
      <c r="C10" s="22"/>
      <c r="D10" s="22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G10" s="22"/>
      <c r="BH10" s="22"/>
      <c r="BI10" s="22"/>
      <c r="BJ10" s="22"/>
      <c r="BK10" s="25"/>
    </row>
    <row r="11" spans="1:63" ht="13.5" customHeight="1" x14ac:dyDescent="0.2">
      <c r="B11" s="24"/>
      <c r="C11" s="161"/>
      <c r="D11" s="161" t="s">
        <v>214</v>
      </c>
      <c r="E11" s="161" t="s">
        <v>97</v>
      </c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G11" s="22"/>
      <c r="BH11" s="22"/>
      <c r="BI11" s="22"/>
      <c r="BJ11" s="22"/>
      <c r="BK11" s="25"/>
    </row>
    <row r="12" spans="1:63" ht="13.5" customHeight="1" x14ac:dyDescent="0.2">
      <c r="B12" s="24"/>
      <c r="C12" s="22"/>
      <c r="D12" s="22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3"/>
      <c r="AZ12" s="153"/>
      <c r="BA12" s="153"/>
      <c r="BB12" s="153"/>
      <c r="BC12" s="153"/>
      <c r="BD12" s="153"/>
      <c r="BE12" s="22"/>
      <c r="BF12" s="22"/>
      <c r="BG12" s="22"/>
      <c r="BH12" s="22"/>
      <c r="BI12" s="22"/>
      <c r="BJ12" s="22"/>
      <c r="BK12" s="25"/>
    </row>
    <row r="13" spans="1:63" ht="13.5" customHeight="1" x14ac:dyDescent="0.2">
      <c r="B13" s="24"/>
      <c r="C13" s="22"/>
      <c r="D13" s="22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22"/>
      <c r="BF13" s="22"/>
      <c r="BG13" s="22"/>
      <c r="BH13" s="22"/>
      <c r="BI13" s="22"/>
      <c r="BJ13" s="22"/>
      <c r="BK13" s="25"/>
    </row>
    <row r="14" spans="1:63" ht="13.5" customHeight="1" x14ac:dyDescent="0.2">
      <c r="B14" s="24"/>
      <c r="C14" s="22"/>
      <c r="D14" s="161" t="s">
        <v>201</v>
      </c>
      <c r="E14" s="161" t="s">
        <v>98</v>
      </c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  <c r="BE14" s="22"/>
      <c r="BF14" s="22"/>
      <c r="BG14" s="22"/>
      <c r="BH14" s="22"/>
      <c r="BI14" s="22"/>
      <c r="BJ14" s="22"/>
      <c r="BK14" s="25"/>
    </row>
    <row r="15" spans="1:63" ht="13.5" customHeight="1" x14ac:dyDescent="0.2">
      <c r="B15" s="24"/>
      <c r="C15" s="22"/>
      <c r="D15" s="161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  <c r="BE15" s="22"/>
      <c r="BF15" s="22"/>
      <c r="BG15" s="22"/>
      <c r="BH15" s="22"/>
      <c r="BI15" s="22"/>
      <c r="BJ15" s="22"/>
      <c r="BK15" s="25"/>
    </row>
    <row r="16" spans="1:63" ht="13.5" customHeight="1" x14ac:dyDescent="0.2">
      <c r="B16" s="24"/>
      <c r="C16" s="22"/>
      <c r="D16" s="22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22"/>
      <c r="BF16" s="22"/>
      <c r="BG16" s="22"/>
      <c r="BH16" s="22"/>
      <c r="BI16" s="22"/>
      <c r="BJ16" s="22"/>
      <c r="BK16" s="25"/>
    </row>
    <row r="17" spans="2:63" ht="13.5" customHeight="1" x14ac:dyDescent="0.2">
      <c r="B17" s="24"/>
      <c r="C17" s="22"/>
      <c r="D17" s="161"/>
      <c r="E17" s="153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22"/>
      <c r="BF17" s="22"/>
      <c r="BG17" s="22"/>
      <c r="BH17" s="22"/>
      <c r="BI17" s="22"/>
      <c r="BJ17" s="22"/>
      <c r="BK17" s="25"/>
    </row>
    <row r="18" spans="2:63" ht="13.5" customHeight="1" x14ac:dyDescent="0.2">
      <c r="B18" s="24"/>
      <c r="C18" s="22"/>
      <c r="D18" s="22"/>
      <c r="E18" s="153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  <c r="AW18" s="153"/>
      <c r="AX18" s="153"/>
      <c r="AY18" s="153"/>
      <c r="AZ18" s="153"/>
      <c r="BA18" s="153"/>
      <c r="BB18" s="153"/>
      <c r="BC18" s="153"/>
      <c r="BD18" s="153"/>
      <c r="BE18" s="22"/>
      <c r="BF18" s="22"/>
      <c r="BG18" s="22"/>
      <c r="BH18" s="22"/>
      <c r="BI18" s="22"/>
      <c r="BJ18" s="22"/>
      <c r="BK18" s="25"/>
    </row>
    <row r="19" spans="2:63" ht="13.5" customHeight="1" x14ac:dyDescent="0.2">
      <c r="B19" s="24"/>
      <c r="C19" s="22"/>
      <c r="D19" s="22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22"/>
      <c r="BF19" s="22"/>
      <c r="BG19" s="22"/>
      <c r="BH19" s="22"/>
      <c r="BI19" s="22"/>
      <c r="BJ19" s="22"/>
      <c r="BK19" s="25"/>
    </row>
    <row r="20" spans="2:63" ht="13.5" customHeight="1" x14ac:dyDescent="0.2">
      <c r="B20" s="24"/>
      <c r="C20" s="22"/>
      <c r="D20" s="22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22"/>
      <c r="BF20" s="22"/>
      <c r="BG20" s="22"/>
      <c r="BH20" s="22"/>
      <c r="BI20" s="22"/>
      <c r="BJ20" s="22"/>
      <c r="BK20" s="25"/>
    </row>
    <row r="21" spans="2:63" ht="13.5" customHeight="1" x14ac:dyDescent="0.2">
      <c r="B21" s="24"/>
      <c r="C21" s="22"/>
      <c r="D21" s="161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  <c r="AV21" s="153"/>
      <c r="AW21" s="153"/>
      <c r="AX21" s="153"/>
      <c r="AY21" s="153"/>
      <c r="AZ21" s="153"/>
      <c r="BA21" s="153"/>
      <c r="BB21" s="153"/>
      <c r="BC21" s="153"/>
      <c r="BD21" s="153"/>
      <c r="BE21" s="22"/>
      <c r="BF21" s="22"/>
      <c r="BG21" s="22"/>
      <c r="BH21" s="22"/>
      <c r="BI21" s="22"/>
      <c r="BJ21" s="22"/>
      <c r="BK21" s="25"/>
    </row>
    <row r="22" spans="2:63" ht="13.5" customHeight="1" x14ac:dyDescent="0.2">
      <c r="B22" s="24"/>
      <c r="C22" s="22"/>
      <c r="D22" s="22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  <c r="AV22" s="153"/>
      <c r="AW22" s="153"/>
      <c r="AX22" s="153"/>
      <c r="AY22" s="153"/>
      <c r="AZ22" s="153"/>
      <c r="BA22" s="153"/>
      <c r="BB22" s="153"/>
      <c r="BC22" s="153"/>
      <c r="BD22" s="153"/>
      <c r="BE22" s="22"/>
      <c r="BF22" s="22"/>
      <c r="BG22" s="22"/>
      <c r="BH22" s="22"/>
      <c r="BI22" s="22"/>
      <c r="BJ22" s="22"/>
      <c r="BK22" s="25"/>
    </row>
    <row r="23" spans="2:63" ht="13.5" customHeight="1" x14ac:dyDescent="0.2">
      <c r="B23" s="24"/>
      <c r="C23" s="22"/>
      <c r="D23" s="22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  <c r="AV23" s="153"/>
      <c r="AW23" s="153"/>
      <c r="AX23" s="153"/>
      <c r="AY23" s="153"/>
      <c r="AZ23" s="153"/>
      <c r="BA23" s="153"/>
      <c r="BB23" s="153"/>
      <c r="BC23" s="153"/>
      <c r="BD23" s="153"/>
      <c r="BE23" s="22"/>
      <c r="BF23" s="22"/>
      <c r="BG23" s="22"/>
      <c r="BH23" s="22"/>
      <c r="BI23" s="22"/>
      <c r="BJ23" s="22"/>
      <c r="BK23" s="25"/>
    </row>
    <row r="24" spans="2:63" ht="13.5" customHeight="1" x14ac:dyDescent="0.2">
      <c r="B24" s="24"/>
      <c r="C24" s="22"/>
      <c r="D24" s="22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  <c r="AV24" s="153"/>
      <c r="AW24" s="153"/>
      <c r="AX24" s="153"/>
      <c r="AY24" s="153"/>
      <c r="AZ24" s="153"/>
      <c r="BA24" s="153"/>
      <c r="BB24" s="153"/>
      <c r="BC24" s="153"/>
      <c r="BD24" s="153"/>
      <c r="BE24" s="22"/>
      <c r="BF24" s="22"/>
      <c r="BG24" s="22"/>
      <c r="BH24" s="22"/>
      <c r="BI24" s="22"/>
      <c r="BJ24" s="22"/>
      <c r="BK24" s="25"/>
    </row>
    <row r="25" spans="2:63" ht="13.5" customHeight="1" x14ac:dyDescent="0.2">
      <c r="B25" s="24"/>
      <c r="C25" s="22"/>
      <c r="D25" s="22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  <c r="AV25" s="153"/>
      <c r="AW25" s="153"/>
      <c r="AX25" s="153"/>
      <c r="AY25" s="153"/>
      <c r="AZ25" s="153"/>
      <c r="BA25" s="153"/>
      <c r="BB25" s="153"/>
      <c r="BC25" s="153"/>
      <c r="BD25" s="153"/>
      <c r="BE25" s="22"/>
      <c r="BF25" s="22"/>
      <c r="BG25" s="22"/>
      <c r="BH25" s="22"/>
      <c r="BI25" s="22"/>
      <c r="BJ25" s="22"/>
      <c r="BK25" s="25"/>
    </row>
    <row r="26" spans="2:63" ht="13.5" customHeight="1" x14ac:dyDescent="0.2">
      <c r="B26" s="24"/>
      <c r="C26" s="22"/>
      <c r="D26" s="161"/>
      <c r="E26" s="153"/>
      <c r="F26" s="153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5"/>
    </row>
    <row r="27" spans="2:63" ht="13.5" customHeight="1" x14ac:dyDescent="0.2">
      <c r="B27" s="24"/>
      <c r="C27" s="22"/>
      <c r="D27" s="22"/>
      <c r="E27" s="161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5"/>
    </row>
    <row r="28" spans="2:63" ht="13.5" customHeight="1" x14ac:dyDescent="0.2">
      <c r="B28" s="24"/>
      <c r="C28" s="22"/>
      <c r="D28" s="22"/>
      <c r="E28" s="161"/>
      <c r="F28" s="22"/>
      <c r="G28" s="161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2"/>
      <c r="BK28" s="25"/>
    </row>
    <row r="29" spans="2:63" ht="13.5" customHeight="1" x14ac:dyDescent="0.2">
      <c r="B29" s="24"/>
      <c r="C29" s="22"/>
      <c r="D29" s="22"/>
      <c r="E29" s="161"/>
      <c r="F29" s="22"/>
      <c r="G29" s="161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2"/>
      <c r="BK29" s="25"/>
    </row>
    <row r="30" spans="2:63" ht="13.5" customHeight="1" x14ac:dyDescent="0.2">
      <c r="B30" s="24"/>
      <c r="C30" s="22"/>
      <c r="D30" s="22"/>
      <c r="E30" s="161"/>
      <c r="F30" s="22"/>
      <c r="G30" s="161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2"/>
      <c r="BK30" s="25"/>
    </row>
    <row r="31" spans="2:63" ht="13.5" customHeight="1" x14ac:dyDescent="0.2">
      <c r="B31" s="24"/>
      <c r="C31" s="22"/>
      <c r="D31" s="22"/>
      <c r="E31" s="161"/>
      <c r="F31" s="22"/>
      <c r="G31" s="22"/>
      <c r="H31" s="22"/>
      <c r="I31" s="161"/>
      <c r="J31" s="22"/>
      <c r="K31" s="22"/>
      <c r="L31" s="22"/>
      <c r="M31" s="22"/>
      <c r="N31" s="22"/>
      <c r="O31" s="161"/>
      <c r="P31" s="22"/>
      <c r="Q31" s="22"/>
      <c r="R31" s="161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2"/>
      <c r="BK31" s="25"/>
    </row>
    <row r="32" spans="2:63" ht="13.5" customHeight="1" x14ac:dyDescent="0.2">
      <c r="B32" s="24"/>
      <c r="C32" s="22"/>
      <c r="D32" s="22"/>
      <c r="E32" s="161"/>
      <c r="F32" s="161"/>
      <c r="G32" s="22"/>
      <c r="H32" s="22"/>
      <c r="I32" s="161"/>
      <c r="J32" s="22"/>
      <c r="K32" s="22"/>
      <c r="L32" s="22"/>
      <c r="M32" s="22"/>
      <c r="N32" s="22"/>
      <c r="O32" s="161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5"/>
    </row>
    <row r="33" spans="2:63" ht="13.5" customHeight="1" x14ac:dyDescent="0.2"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5"/>
    </row>
    <row r="34" spans="2:63" ht="13.5" customHeight="1" x14ac:dyDescent="0.2">
      <c r="B34" s="24"/>
      <c r="C34" s="22"/>
      <c r="D34" s="22"/>
      <c r="E34" s="22"/>
      <c r="F34" s="22"/>
      <c r="G34" s="22"/>
      <c r="H34" s="22"/>
      <c r="I34" s="161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5"/>
    </row>
    <row r="35" spans="2:63" ht="13.5" customHeight="1" x14ac:dyDescent="0.2">
      <c r="B35" s="2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5"/>
    </row>
    <row r="36" spans="2:63" ht="13.5" customHeight="1" x14ac:dyDescent="0.2">
      <c r="B36" s="24"/>
      <c r="C36" s="22"/>
      <c r="D36" s="161"/>
      <c r="E36" s="153"/>
      <c r="F36" s="153"/>
      <c r="G36" s="161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5"/>
    </row>
    <row r="37" spans="2:63" ht="13.5" customHeight="1" x14ac:dyDescent="0.2">
      <c r="B37" s="24"/>
      <c r="C37" s="22"/>
      <c r="D37" s="22"/>
      <c r="E37" s="22"/>
      <c r="F37" s="22"/>
      <c r="G37" s="161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2:63" ht="13.5" customHeight="1" x14ac:dyDescent="0.2">
      <c r="B38" s="24"/>
      <c r="C38" s="22"/>
      <c r="D38" s="22"/>
      <c r="E38" s="22"/>
      <c r="F38" s="22"/>
      <c r="G38" s="161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2:63" ht="13.5" customHeight="1" x14ac:dyDescent="0.2">
      <c r="B39" s="24"/>
      <c r="C39" s="22"/>
      <c r="D39" s="22"/>
      <c r="E39" s="22"/>
      <c r="F39" s="22"/>
      <c r="G39" s="161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2:63" ht="13.5" customHeight="1" x14ac:dyDescent="0.2"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</sheetData>
  <dataConsolidate/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tabColor rgb="FFFF0000"/>
  </sheetPr>
  <dimension ref="A1:BK75"/>
  <sheetViews>
    <sheetView view="pageBreakPreview" zoomScale="85" zoomScaleNormal="100" zoomScaleSheetLayoutView="85" workbookViewId="0">
      <selection activeCell="AZ11" sqref="AZ11:BI11"/>
    </sheetView>
  </sheetViews>
  <sheetFormatPr defaultColWidth="2.21875" defaultRowHeight="13.5" customHeight="1" x14ac:dyDescent="0.2"/>
  <cols>
    <col min="1" max="1" width="0.6640625" style="19" customWidth="1"/>
    <col min="2" max="62" width="2.21875" style="19" customWidth="1"/>
    <col min="63" max="63" width="1.21875" style="19" customWidth="1"/>
    <col min="64" max="64" width="0.6640625" style="19" customWidth="1"/>
    <col min="65" max="16384" width="2.21875" style="19"/>
  </cols>
  <sheetData>
    <row r="1" spans="1:63" ht="13.5" customHeight="1" x14ac:dyDescent="0.2">
      <c r="A1" s="20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3" ht="13.5" customHeight="1" x14ac:dyDescent="0.2">
      <c r="A2" s="20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3" s="23" customFormat="1" ht="13.5" customHeight="1" x14ac:dyDescent="0.2">
      <c r="A3" s="22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3" s="23" customFormat="1" ht="13.5" customHeight="1" x14ac:dyDescent="0.2">
      <c r="A4" s="22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3" s="23" customFormat="1" ht="4.5" customHeight="1" x14ac:dyDescent="0.2">
      <c r="A5" s="22"/>
      <c r="B5" s="15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53"/>
    </row>
    <row r="6" spans="1:63" ht="13.5" customHeight="1" x14ac:dyDescent="0.2">
      <c r="A6" s="20"/>
      <c r="B6" s="40"/>
      <c r="C6" s="41"/>
      <c r="D6" s="41"/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ht="13.5" customHeight="1" x14ac:dyDescent="0.2">
      <c r="A7" s="20"/>
      <c r="B7" s="24"/>
      <c r="C7" s="161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5"/>
    </row>
    <row r="8" spans="1:63" ht="13.5" customHeight="1" x14ac:dyDescent="0.2">
      <c r="A8" s="20"/>
      <c r="B8" s="24"/>
      <c r="C8" s="161"/>
      <c r="D8" s="227" t="s">
        <v>36</v>
      </c>
      <c r="E8" s="227"/>
      <c r="F8" s="227"/>
      <c r="G8" s="227"/>
      <c r="H8" s="227"/>
      <c r="I8" s="227"/>
      <c r="J8" s="230">
        <v>43101</v>
      </c>
      <c r="K8" s="230"/>
      <c r="L8" s="230"/>
      <c r="M8" s="230"/>
      <c r="N8" s="230"/>
      <c r="O8" s="230"/>
      <c r="P8" s="230"/>
      <c r="Q8" s="230"/>
      <c r="R8" s="230"/>
      <c r="S8" s="231"/>
      <c r="T8" s="232" t="s">
        <v>37</v>
      </c>
      <c r="U8" s="233"/>
      <c r="V8" s="235">
        <v>43101</v>
      </c>
      <c r="W8" s="230"/>
      <c r="X8" s="230"/>
      <c r="Y8" s="230"/>
      <c r="Z8" s="230"/>
      <c r="AA8" s="230"/>
      <c r="AB8" s="230"/>
      <c r="AC8" s="230"/>
      <c r="AD8" s="230"/>
      <c r="AE8" s="230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ht="13.5" customHeight="1" x14ac:dyDescent="0.2">
      <c r="B9" s="24"/>
      <c r="C9" s="22"/>
      <c r="D9" s="227"/>
      <c r="E9" s="227"/>
      <c r="F9" s="227"/>
      <c r="G9" s="227"/>
      <c r="H9" s="227"/>
      <c r="I9" s="227"/>
      <c r="J9" s="230"/>
      <c r="K9" s="230"/>
      <c r="L9" s="230"/>
      <c r="M9" s="230"/>
      <c r="N9" s="230"/>
      <c r="O9" s="230"/>
      <c r="P9" s="230"/>
      <c r="Q9" s="230"/>
      <c r="R9" s="230"/>
      <c r="S9" s="231"/>
      <c r="T9" s="234"/>
      <c r="U9" s="233"/>
      <c r="V9" s="236"/>
      <c r="W9" s="230"/>
      <c r="X9" s="230"/>
      <c r="Y9" s="230"/>
      <c r="Z9" s="230"/>
      <c r="AA9" s="230"/>
      <c r="AB9" s="230"/>
      <c r="AC9" s="230"/>
      <c r="AD9" s="230"/>
      <c r="AE9" s="230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ht="13.5" customHeight="1" x14ac:dyDescent="0.2">
      <c r="B10" s="24"/>
      <c r="C10" s="22"/>
      <c r="D10" s="227" t="s">
        <v>38</v>
      </c>
      <c r="E10" s="227"/>
      <c r="F10" s="227"/>
      <c r="G10" s="227"/>
      <c r="H10" s="227"/>
      <c r="I10" s="227"/>
      <c r="J10" s="238" t="s">
        <v>207</v>
      </c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G10" s="22"/>
      <c r="BH10" s="22"/>
      <c r="BI10" s="22"/>
      <c r="BJ10" s="22"/>
      <c r="BK10" s="25"/>
    </row>
    <row r="11" spans="1:63" ht="13.5" customHeight="1" x14ac:dyDescent="0.2">
      <c r="B11" s="24"/>
      <c r="C11" s="161"/>
      <c r="D11" s="237"/>
      <c r="E11" s="237"/>
      <c r="F11" s="237"/>
      <c r="G11" s="237"/>
      <c r="H11" s="237"/>
      <c r="I11" s="237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240" t="s">
        <v>73</v>
      </c>
      <c r="BA11" s="240"/>
      <c r="BB11" s="240"/>
      <c r="BC11" s="240"/>
      <c r="BD11" s="240"/>
      <c r="BE11" s="240"/>
      <c r="BF11" s="240"/>
      <c r="BG11" s="240"/>
      <c r="BH11" s="240"/>
      <c r="BI11" s="240"/>
      <c r="BJ11" s="22"/>
      <c r="BK11" s="25"/>
    </row>
    <row r="12" spans="1:63" ht="13.5" customHeight="1" x14ac:dyDescent="0.2">
      <c r="B12" s="24"/>
      <c r="C12" s="22"/>
      <c r="D12" s="227" t="s">
        <v>39</v>
      </c>
      <c r="E12" s="227"/>
      <c r="F12" s="227"/>
      <c r="G12" s="227"/>
      <c r="H12" s="227"/>
      <c r="I12" s="227"/>
      <c r="J12" s="241" t="s">
        <v>42</v>
      </c>
      <c r="K12" s="242"/>
      <c r="L12" s="242"/>
      <c r="M12" s="242"/>
      <c r="N12" s="242"/>
      <c r="O12" s="242"/>
      <c r="P12" s="242"/>
      <c r="Q12" s="242"/>
      <c r="R12" s="242"/>
      <c r="S12" s="242"/>
      <c r="T12" s="242"/>
      <c r="U12" s="242"/>
      <c r="V12" s="242"/>
      <c r="W12" s="242"/>
      <c r="X12" s="242"/>
      <c r="Y12" s="243"/>
      <c r="Z12" s="226" t="s">
        <v>43</v>
      </c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 t="s">
        <v>43</v>
      </c>
      <c r="AQ12" s="226"/>
      <c r="AR12" s="226"/>
      <c r="AS12" s="226"/>
      <c r="AT12" s="226"/>
      <c r="AU12" s="226"/>
      <c r="AV12" s="226"/>
      <c r="AW12" s="226"/>
      <c r="AX12" s="226"/>
      <c r="AY12" s="226"/>
      <c r="AZ12" s="226" t="s">
        <v>44</v>
      </c>
      <c r="BA12" s="226"/>
      <c r="BB12" s="226"/>
      <c r="BC12" s="226"/>
      <c r="BD12" s="226"/>
      <c r="BE12" s="226"/>
      <c r="BF12" s="226"/>
      <c r="BG12" s="226"/>
      <c r="BH12" s="226"/>
      <c r="BI12" s="226"/>
      <c r="BJ12" s="22"/>
      <c r="BK12" s="25"/>
    </row>
    <row r="13" spans="1:63" ht="13.5" customHeight="1" x14ac:dyDescent="0.2">
      <c r="B13" s="24"/>
      <c r="C13" s="22"/>
      <c r="D13" s="227"/>
      <c r="E13" s="227"/>
      <c r="F13" s="227"/>
      <c r="G13" s="227"/>
      <c r="H13" s="227"/>
      <c r="I13" s="227"/>
      <c r="J13" s="244"/>
      <c r="K13" s="245"/>
      <c r="L13" s="245"/>
      <c r="M13" s="245"/>
      <c r="N13" s="245"/>
      <c r="O13" s="245"/>
      <c r="P13" s="245"/>
      <c r="Q13" s="245"/>
      <c r="R13" s="245"/>
      <c r="S13" s="245"/>
      <c r="T13" s="245"/>
      <c r="U13" s="245"/>
      <c r="V13" s="245"/>
      <c r="W13" s="245"/>
      <c r="X13" s="245"/>
      <c r="Y13" s="246"/>
      <c r="Z13" s="226"/>
      <c r="AA13" s="226"/>
      <c r="AB13" s="226"/>
      <c r="AC13" s="226"/>
      <c r="AD13" s="226"/>
      <c r="AE13" s="226"/>
      <c r="AF13" s="226"/>
      <c r="AG13" s="226"/>
      <c r="AH13" s="226"/>
      <c r="AI13" s="226"/>
      <c r="AJ13" s="226"/>
      <c r="AK13" s="226"/>
      <c r="AL13" s="226"/>
      <c r="AM13" s="226"/>
      <c r="AN13" s="226"/>
      <c r="AO13" s="226"/>
      <c r="AP13" s="226"/>
      <c r="AQ13" s="226"/>
      <c r="AR13" s="226"/>
      <c r="AS13" s="226"/>
      <c r="AT13" s="226"/>
      <c r="AU13" s="226"/>
      <c r="AV13" s="226"/>
      <c r="AW13" s="226"/>
      <c r="AX13" s="226"/>
      <c r="AY13" s="226"/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"/>
      <c r="BK13" s="25"/>
    </row>
    <row r="14" spans="1:63" ht="13.5" customHeight="1" x14ac:dyDescent="0.2">
      <c r="B14" s="24"/>
      <c r="C14" s="22"/>
      <c r="D14" s="227"/>
      <c r="E14" s="227"/>
      <c r="F14" s="227"/>
      <c r="G14" s="227"/>
      <c r="H14" s="227"/>
      <c r="I14" s="227"/>
      <c r="J14" s="226" t="s">
        <v>44</v>
      </c>
      <c r="K14" s="226"/>
      <c r="L14" s="226"/>
      <c r="M14" s="226"/>
      <c r="N14" s="226"/>
      <c r="O14" s="226"/>
      <c r="P14" s="226"/>
      <c r="Q14" s="226"/>
      <c r="R14" s="226"/>
      <c r="S14" s="226"/>
      <c r="T14" s="226"/>
      <c r="U14" s="226"/>
      <c r="V14" s="226"/>
      <c r="W14" s="226"/>
      <c r="X14" s="226"/>
      <c r="Y14" s="226"/>
      <c r="Z14" s="226" t="s">
        <v>45</v>
      </c>
      <c r="AA14" s="226"/>
      <c r="AB14" s="226"/>
      <c r="AC14" s="226"/>
      <c r="AD14" s="226"/>
      <c r="AE14" s="226"/>
      <c r="AF14" s="226"/>
      <c r="AG14" s="226"/>
      <c r="AH14" s="226"/>
      <c r="AI14" s="226"/>
      <c r="AJ14" s="226"/>
      <c r="AK14" s="226"/>
      <c r="AL14" s="226"/>
      <c r="AM14" s="226"/>
      <c r="AN14" s="226"/>
      <c r="AO14" s="226"/>
      <c r="AP14" s="226" t="s">
        <v>44</v>
      </c>
      <c r="AQ14" s="226"/>
      <c r="AR14" s="226"/>
      <c r="AS14" s="226"/>
      <c r="AT14" s="226"/>
      <c r="AU14" s="226"/>
      <c r="AV14" s="226"/>
      <c r="AW14" s="226"/>
      <c r="AX14" s="226"/>
      <c r="AY14" s="226"/>
      <c r="AZ14" s="226" t="s">
        <v>46</v>
      </c>
      <c r="BA14" s="226"/>
      <c r="BB14" s="226"/>
      <c r="BC14" s="226"/>
      <c r="BD14" s="226"/>
      <c r="BE14" s="226"/>
      <c r="BF14" s="226"/>
      <c r="BG14" s="226"/>
      <c r="BH14" s="226"/>
      <c r="BI14" s="226"/>
      <c r="BJ14" s="22"/>
      <c r="BK14" s="25"/>
    </row>
    <row r="15" spans="1:63" ht="13.5" customHeight="1" x14ac:dyDescent="0.2">
      <c r="B15" s="24"/>
      <c r="C15" s="22"/>
      <c r="D15" s="227"/>
      <c r="E15" s="227"/>
      <c r="F15" s="227"/>
      <c r="G15" s="227"/>
      <c r="H15" s="227"/>
      <c r="I15" s="227"/>
      <c r="J15" s="226"/>
      <c r="K15" s="226"/>
      <c r="L15" s="226"/>
      <c r="M15" s="226"/>
      <c r="N15" s="226"/>
      <c r="O15" s="226"/>
      <c r="P15" s="226"/>
      <c r="Q15" s="226"/>
      <c r="R15" s="226"/>
      <c r="S15" s="226"/>
      <c r="T15" s="226"/>
      <c r="U15" s="226"/>
      <c r="V15" s="226"/>
      <c r="W15" s="226"/>
      <c r="X15" s="226"/>
      <c r="Y15" s="226"/>
      <c r="Z15" s="226"/>
      <c r="AA15" s="226"/>
      <c r="AB15" s="226"/>
      <c r="AC15" s="226"/>
      <c r="AD15" s="226"/>
      <c r="AE15" s="226"/>
      <c r="AF15" s="226"/>
      <c r="AG15" s="226"/>
      <c r="AH15" s="226"/>
      <c r="AI15" s="226"/>
      <c r="AJ15" s="226"/>
      <c r="AK15" s="226"/>
      <c r="AL15" s="226"/>
      <c r="AM15" s="226"/>
      <c r="AN15" s="226"/>
      <c r="AO15" s="226"/>
      <c r="AP15" s="226"/>
      <c r="AQ15" s="226"/>
      <c r="AR15" s="226"/>
      <c r="AS15" s="226"/>
      <c r="AT15" s="226"/>
      <c r="AU15" s="226"/>
      <c r="AV15" s="226"/>
      <c r="AW15" s="226"/>
      <c r="AX15" s="226"/>
      <c r="AY15" s="226"/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"/>
      <c r="BK15" s="25"/>
    </row>
    <row r="16" spans="1:63" ht="13.5" customHeight="1" x14ac:dyDescent="0.2">
      <c r="B16" s="24"/>
      <c r="C16" s="22"/>
      <c r="D16" s="227"/>
      <c r="E16" s="227"/>
      <c r="F16" s="227"/>
      <c r="G16" s="227"/>
      <c r="H16" s="227"/>
      <c r="I16" s="227"/>
      <c r="J16" s="226" t="s">
        <v>44</v>
      </c>
      <c r="K16" s="226"/>
      <c r="L16" s="226"/>
      <c r="M16" s="226"/>
      <c r="N16" s="226"/>
      <c r="O16" s="226"/>
      <c r="P16" s="226"/>
      <c r="Q16" s="226"/>
      <c r="R16" s="226"/>
      <c r="S16" s="226"/>
      <c r="T16" s="226"/>
      <c r="U16" s="226"/>
      <c r="V16" s="226"/>
      <c r="W16" s="226"/>
      <c r="X16" s="226"/>
      <c r="Y16" s="226"/>
      <c r="Z16" s="226" t="s">
        <v>45</v>
      </c>
      <c r="AA16" s="226"/>
      <c r="AB16" s="226"/>
      <c r="AC16" s="226"/>
      <c r="AD16" s="226"/>
      <c r="AE16" s="226"/>
      <c r="AF16" s="226"/>
      <c r="AG16" s="226"/>
      <c r="AH16" s="226"/>
      <c r="AI16" s="226"/>
      <c r="AJ16" s="226"/>
      <c r="AK16" s="226"/>
      <c r="AL16" s="226"/>
      <c r="AM16" s="226"/>
      <c r="AN16" s="226"/>
      <c r="AO16" s="226"/>
      <c r="AP16" s="226" t="s">
        <v>44</v>
      </c>
      <c r="AQ16" s="226"/>
      <c r="AR16" s="226"/>
      <c r="AS16" s="226"/>
      <c r="AT16" s="226"/>
      <c r="AU16" s="226"/>
      <c r="AV16" s="226"/>
      <c r="AW16" s="226"/>
      <c r="AX16" s="226"/>
      <c r="AY16" s="226"/>
      <c r="AZ16" s="226" t="s">
        <v>46</v>
      </c>
      <c r="BA16" s="226"/>
      <c r="BB16" s="226"/>
      <c r="BC16" s="226"/>
      <c r="BD16" s="226"/>
      <c r="BE16" s="226"/>
      <c r="BF16" s="226"/>
      <c r="BG16" s="226"/>
      <c r="BH16" s="226"/>
      <c r="BI16" s="226"/>
      <c r="BJ16" s="22"/>
      <c r="BK16" s="25"/>
    </row>
    <row r="17" spans="2:63" ht="13.5" customHeight="1" x14ac:dyDescent="0.2">
      <c r="B17" s="24"/>
      <c r="C17" s="22"/>
      <c r="D17" s="227"/>
      <c r="E17" s="227"/>
      <c r="F17" s="227"/>
      <c r="G17" s="227"/>
      <c r="H17" s="227"/>
      <c r="I17" s="227"/>
      <c r="J17" s="226"/>
      <c r="K17" s="226"/>
      <c r="L17" s="226"/>
      <c r="M17" s="226"/>
      <c r="N17" s="226"/>
      <c r="O17" s="226"/>
      <c r="P17" s="226"/>
      <c r="Q17" s="226"/>
      <c r="R17" s="226"/>
      <c r="S17" s="226"/>
      <c r="T17" s="226"/>
      <c r="U17" s="226"/>
      <c r="V17" s="226"/>
      <c r="W17" s="226"/>
      <c r="X17" s="226"/>
      <c r="Y17" s="226"/>
      <c r="Z17" s="226"/>
      <c r="AA17" s="226"/>
      <c r="AB17" s="226"/>
      <c r="AC17" s="226"/>
      <c r="AD17" s="226"/>
      <c r="AE17" s="226"/>
      <c r="AF17" s="226"/>
      <c r="AG17" s="226"/>
      <c r="AH17" s="226"/>
      <c r="AI17" s="226"/>
      <c r="AJ17" s="226"/>
      <c r="AK17" s="226"/>
      <c r="AL17" s="226"/>
      <c r="AM17" s="226"/>
      <c r="AN17" s="226"/>
      <c r="AO17" s="226"/>
      <c r="AP17" s="226"/>
      <c r="AQ17" s="226"/>
      <c r="AR17" s="226"/>
      <c r="AS17" s="226"/>
      <c r="AT17" s="226"/>
      <c r="AU17" s="226"/>
      <c r="AV17" s="226"/>
      <c r="AW17" s="226"/>
      <c r="AX17" s="226"/>
      <c r="AY17" s="226"/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"/>
      <c r="BK17" s="25"/>
    </row>
    <row r="18" spans="2:63" ht="13.5" customHeight="1" x14ac:dyDescent="0.2">
      <c r="B18" s="24"/>
      <c r="C18" s="22"/>
      <c r="D18" s="227"/>
      <c r="E18" s="227"/>
      <c r="F18" s="227"/>
      <c r="G18" s="227"/>
      <c r="H18" s="227"/>
      <c r="I18" s="227"/>
      <c r="J18" s="226" t="s">
        <v>44</v>
      </c>
      <c r="K18" s="226"/>
      <c r="L18" s="226"/>
      <c r="M18" s="226"/>
      <c r="N18" s="226"/>
      <c r="O18" s="226"/>
      <c r="P18" s="226"/>
      <c r="Q18" s="226"/>
      <c r="R18" s="226"/>
      <c r="S18" s="226"/>
      <c r="T18" s="226"/>
      <c r="U18" s="226"/>
      <c r="V18" s="226"/>
      <c r="W18" s="226"/>
      <c r="X18" s="226"/>
      <c r="Y18" s="226"/>
      <c r="Z18" s="226" t="s">
        <v>45</v>
      </c>
      <c r="AA18" s="226"/>
      <c r="AB18" s="226"/>
      <c r="AC18" s="226"/>
      <c r="AD18" s="226"/>
      <c r="AE18" s="226"/>
      <c r="AF18" s="226"/>
      <c r="AG18" s="226"/>
      <c r="AH18" s="226"/>
      <c r="AI18" s="226"/>
      <c r="AJ18" s="226"/>
      <c r="AK18" s="226"/>
      <c r="AL18" s="226"/>
      <c r="AM18" s="226"/>
      <c r="AN18" s="226"/>
      <c r="AO18" s="226"/>
      <c r="AP18" s="226" t="s">
        <v>44</v>
      </c>
      <c r="AQ18" s="226"/>
      <c r="AR18" s="226"/>
      <c r="AS18" s="226"/>
      <c r="AT18" s="226"/>
      <c r="AU18" s="226"/>
      <c r="AV18" s="226"/>
      <c r="AW18" s="226"/>
      <c r="AX18" s="226"/>
      <c r="AY18" s="226"/>
      <c r="AZ18" s="226" t="s">
        <v>46</v>
      </c>
      <c r="BA18" s="226"/>
      <c r="BB18" s="226"/>
      <c r="BC18" s="226"/>
      <c r="BD18" s="226"/>
      <c r="BE18" s="226"/>
      <c r="BF18" s="226"/>
      <c r="BG18" s="226"/>
      <c r="BH18" s="226"/>
      <c r="BI18" s="226"/>
      <c r="BJ18" s="22"/>
      <c r="BK18" s="25"/>
    </row>
    <row r="19" spans="2:63" ht="13.5" customHeight="1" x14ac:dyDescent="0.2">
      <c r="B19" s="24"/>
      <c r="C19" s="22"/>
      <c r="D19" s="227"/>
      <c r="E19" s="227"/>
      <c r="F19" s="227"/>
      <c r="G19" s="227"/>
      <c r="H19" s="227"/>
      <c r="I19" s="227"/>
      <c r="J19" s="226"/>
      <c r="K19" s="226"/>
      <c r="L19" s="226"/>
      <c r="M19" s="226"/>
      <c r="N19" s="226"/>
      <c r="O19" s="226"/>
      <c r="P19" s="226"/>
      <c r="Q19" s="226"/>
      <c r="R19" s="226"/>
      <c r="S19" s="226"/>
      <c r="T19" s="226"/>
      <c r="U19" s="226"/>
      <c r="V19" s="226"/>
      <c r="W19" s="226"/>
      <c r="X19" s="226"/>
      <c r="Y19" s="226"/>
      <c r="Z19" s="226"/>
      <c r="AA19" s="226"/>
      <c r="AB19" s="226"/>
      <c r="AC19" s="226"/>
      <c r="AD19" s="226"/>
      <c r="AE19" s="226"/>
      <c r="AF19" s="226"/>
      <c r="AG19" s="226"/>
      <c r="AH19" s="226"/>
      <c r="AI19" s="226"/>
      <c r="AJ19" s="226"/>
      <c r="AK19" s="226"/>
      <c r="AL19" s="226"/>
      <c r="AM19" s="226"/>
      <c r="AN19" s="226"/>
      <c r="AO19" s="226"/>
      <c r="AP19" s="226"/>
      <c r="AQ19" s="226"/>
      <c r="AR19" s="226"/>
      <c r="AS19" s="226"/>
      <c r="AT19" s="226"/>
      <c r="AU19" s="226"/>
      <c r="AV19" s="226"/>
      <c r="AW19" s="226"/>
      <c r="AX19" s="226"/>
      <c r="AY19" s="226"/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"/>
      <c r="BK19" s="25"/>
    </row>
    <row r="20" spans="2:63" ht="13.5" customHeight="1" x14ac:dyDescent="0.2">
      <c r="B20" s="24"/>
      <c r="C20" s="22"/>
      <c r="D20" s="227"/>
      <c r="E20" s="227"/>
      <c r="F20" s="227"/>
      <c r="G20" s="227"/>
      <c r="H20" s="227"/>
      <c r="I20" s="227"/>
      <c r="J20" s="226" t="s">
        <v>44</v>
      </c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 t="s">
        <v>45</v>
      </c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 t="s">
        <v>44</v>
      </c>
      <c r="AQ20" s="226"/>
      <c r="AR20" s="226"/>
      <c r="AS20" s="226"/>
      <c r="AT20" s="226"/>
      <c r="AU20" s="226"/>
      <c r="AV20" s="226"/>
      <c r="AW20" s="226"/>
      <c r="AX20" s="226"/>
      <c r="AY20" s="226"/>
      <c r="AZ20" s="226" t="s">
        <v>46</v>
      </c>
      <c r="BA20" s="226"/>
      <c r="BB20" s="226"/>
      <c r="BC20" s="226"/>
      <c r="BD20" s="226"/>
      <c r="BE20" s="226"/>
      <c r="BF20" s="226"/>
      <c r="BG20" s="226"/>
      <c r="BH20" s="226"/>
      <c r="BI20" s="226"/>
      <c r="BJ20" s="22"/>
      <c r="BK20" s="25"/>
    </row>
    <row r="21" spans="2:63" ht="13.5" customHeight="1" x14ac:dyDescent="0.2">
      <c r="B21" s="24"/>
      <c r="C21" s="22"/>
      <c r="D21" s="227"/>
      <c r="E21" s="227"/>
      <c r="F21" s="227"/>
      <c r="G21" s="227"/>
      <c r="H21" s="227"/>
      <c r="I21" s="227"/>
      <c r="J21" s="226"/>
      <c r="K21" s="226"/>
      <c r="L21" s="226"/>
      <c r="M21" s="226"/>
      <c r="N21" s="226"/>
      <c r="O21" s="226"/>
      <c r="P21" s="226"/>
      <c r="Q21" s="226"/>
      <c r="R21" s="226"/>
      <c r="S21" s="226"/>
      <c r="T21" s="226"/>
      <c r="U21" s="226"/>
      <c r="V21" s="226"/>
      <c r="W21" s="226"/>
      <c r="X21" s="226"/>
      <c r="Y21" s="226"/>
      <c r="Z21" s="226"/>
      <c r="AA21" s="226"/>
      <c r="AB21" s="226"/>
      <c r="AC21" s="226"/>
      <c r="AD21" s="226"/>
      <c r="AE21" s="226"/>
      <c r="AF21" s="226"/>
      <c r="AG21" s="226"/>
      <c r="AH21" s="226"/>
      <c r="AI21" s="226"/>
      <c r="AJ21" s="226"/>
      <c r="AK21" s="226"/>
      <c r="AL21" s="226"/>
      <c r="AM21" s="226"/>
      <c r="AN21" s="226"/>
      <c r="AO21" s="226"/>
      <c r="AP21" s="226"/>
      <c r="AQ21" s="226"/>
      <c r="AR21" s="226"/>
      <c r="AS21" s="226"/>
      <c r="AT21" s="226"/>
      <c r="AU21" s="226"/>
      <c r="AV21" s="226"/>
      <c r="AW21" s="226"/>
      <c r="AX21" s="226"/>
      <c r="AY21" s="226"/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"/>
      <c r="BK21" s="25"/>
    </row>
    <row r="22" spans="2:63" ht="13.5" customHeight="1" x14ac:dyDescent="0.2">
      <c r="B22" s="24"/>
      <c r="C22" s="22"/>
      <c r="D22" s="228" t="s">
        <v>40</v>
      </c>
      <c r="E22" s="227"/>
      <c r="F22" s="227"/>
      <c r="G22" s="227"/>
      <c r="H22" s="227"/>
      <c r="I22" s="227"/>
      <c r="J22" s="229" t="s">
        <v>142</v>
      </c>
      <c r="K22" s="229"/>
      <c r="L22" s="229"/>
      <c r="M22" s="229"/>
      <c r="N22" s="229"/>
      <c r="O22" s="229"/>
      <c r="P22" s="229"/>
      <c r="Q22" s="229"/>
      <c r="R22" s="229"/>
      <c r="S22" s="229"/>
      <c r="T22" s="229"/>
      <c r="U22" s="229"/>
      <c r="V22" s="229"/>
      <c r="W22" s="229"/>
      <c r="X22" s="229"/>
      <c r="Y22" s="229"/>
      <c r="Z22" s="229" t="s">
        <v>48</v>
      </c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  <c r="AP22" s="229" t="s">
        <v>99</v>
      </c>
      <c r="AQ22" s="229"/>
      <c r="AR22" s="229"/>
      <c r="AS22" s="229"/>
      <c r="AT22" s="229"/>
      <c r="AU22" s="229"/>
      <c r="AV22" s="229"/>
      <c r="AW22" s="229"/>
      <c r="AX22" s="229"/>
      <c r="AY22" s="229"/>
      <c r="AZ22" s="226" t="s">
        <v>42</v>
      </c>
      <c r="BA22" s="226"/>
      <c r="BB22" s="226"/>
      <c r="BC22" s="226"/>
      <c r="BD22" s="226"/>
      <c r="BE22" s="226"/>
      <c r="BF22" s="226"/>
      <c r="BG22" s="226"/>
      <c r="BH22" s="226"/>
      <c r="BI22" s="226"/>
      <c r="BJ22" s="22"/>
      <c r="BK22" s="25"/>
    </row>
    <row r="23" spans="2:63" ht="13.5" customHeight="1" x14ac:dyDescent="0.2">
      <c r="B23" s="24"/>
      <c r="C23" s="22"/>
      <c r="D23" s="227"/>
      <c r="E23" s="227"/>
      <c r="F23" s="227"/>
      <c r="G23" s="227"/>
      <c r="H23" s="227"/>
      <c r="I23" s="227"/>
      <c r="J23" s="229"/>
      <c r="K23" s="229"/>
      <c r="L23" s="229"/>
      <c r="M23" s="229"/>
      <c r="N23" s="229"/>
      <c r="O23" s="229"/>
      <c r="P23" s="229"/>
      <c r="Q23" s="229"/>
      <c r="R23" s="229"/>
      <c r="S23" s="229"/>
      <c r="T23" s="229"/>
      <c r="U23" s="229"/>
      <c r="V23" s="229"/>
      <c r="W23" s="229"/>
      <c r="X23" s="229"/>
      <c r="Y23" s="229"/>
      <c r="Z23" s="229"/>
      <c r="AA23" s="229"/>
      <c r="AB23" s="229"/>
      <c r="AC23" s="229"/>
      <c r="AD23" s="229"/>
      <c r="AE23" s="229"/>
      <c r="AF23" s="229"/>
      <c r="AG23" s="229"/>
      <c r="AH23" s="229"/>
      <c r="AI23" s="229"/>
      <c r="AJ23" s="229"/>
      <c r="AK23" s="229"/>
      <c r="AL23" s="229"/>
      <c r="AM23" s="229"/>
      <c r="AN23" s="229"/>
      <c r="AO23" s="229"/>
      <c r="AP23" s="229"/>
      <c r="AQ23" s="229"/>
      <c r="AR23" s="229"/>
      <c r="AS23" s="229"/>
      <c r="AT23" s="229"/>
      <c r="AU23" s="229"/>
      <c r="AV23" s="229"/>
      <c r="AW23" s="229"/>
      <c r="AX23" s="229"/>
      <c r="AY23" s="229"/>
      <c r="AZ23" s="226"/>
      <c r="BA23" s="226"/>
      <c r="BB23" s="226"/>
      <c r="BC23" s="226"/>
      <c r="BD23" s="226"/>
      <c r="BE23" s="226"/>
      <c r="BF23" s="226"/>
      <c r="BG23" s="226"/>
      <c r="BH23" s="226"/>
      <c r="BI23" s="226"/>
      <c r="BJ23" s="22"/>
      <c r="BK23" s="25"/>
    </row>
    <row r="24" spans="2:63" ht="13.5" customHeight="1" x14ac:dyDescent="0.2">
      <c r="B24" s="24"/>
      <c r="C24" s="22"/>
      <c r="D24" s="227"/>
      <c r="E24" s="227"/>
      <c r="F24" s="227"/>
      <c r="G24" s="227"/>
      <c r="H24" s="227"/>
      <c r="I24" s="227"/>
      <c r="J24" s="229" t="s">
        <v>47</v>
      </c>
      <c r="K24" s="229"/>
      <c r="L24" s="229"/>
      <c r="M24" s="229"/>
      <c r="N24" s="229"/>
      <c r="O24" s="229"/>
      <c r="P24" s="229"/>
      <c r="Q24" s="229"/>
      <c r="R24" s="229"/>
      <c r="S24" s="229"/>
      <c r="T24" s="229"/>
      <c r="U24" s="229"/>
      <c r="V24" s="229"/>
      <c r="W24" s="229"/>
      <c r="X24" s="229"/>
      <c r="Y24" s="229"/>
      <c r="Z24" s="229" t="s">
        <v>48</v>
      </c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  <c r="AP24" s="229" t="s">
        <v>99</v>
      </c>
      <c r="AQ24" s="229"/>
      <c r="AR24" s="229"/>
      <c r="AS24" s="229"/>
      <c r="AT24" s="229"/>
      <c r="AU24" s="229"/>
      <c r="AV24" s="229"/>
      <c r="AW24" s="229"/>
      <c r="AX24" s="229"/>
      <c r="AY24" s="229"/>
      <c r="AZ24" s="226" t="s">
        <v>42</v>
      </c>
      <c r="BA24" s="226"/>
      <c r="BB24" s="226"/>
      <c r="BC24" s="226"/>
      <c r="BD24" s="226"/>
      <c r="BE24" s="226"/>
      <c r="BF24" s="226"/>
      <c r="BG24" s="226"/>
      <c r="BH24" s="226"/>
      <c r="BI24" s="226"/>
      <c r="BJ24" s="22"/>
      <c r="BK24" s="25"/>
    </row>
    <row r="25" spans="2:63" ht="13.5" customHeight="1" x14ac:dyDescent="0.2">
      <c r="B25" s="24"/>
      <c r="C25" s="22"/>
      <c r="D25" s="227"/>
      <c r="E25" s="227"/>
      <c r="F25" s="227"/>
      <c r="G25" s="227"/>
      <c r="H25" s="227"/>
      <c r="I25" s="227"/>
      <c r="J25" s="229"/>
      <c r="K25" s="229"/>
      <c r="L25" s="229"/>
      <c r="M25" s="229"/>
      <c r="N25" s="229"/>
      <c r="O25" s="229"/>
      <c r="P25" s="229"/>
      <c r="Q25" s="229"/>
      <c r="R25" s="229"/>
      <c r="S25" s="229"/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  <c r="AP25" s="229"/>
      <c r="AQ25" s="229"/>
      <c r="AR25" s="229"/>
      <c r="AS25" s="229"/>
      <c r="AT25" s="229"/>
      <c r="AU25" s="229"/>
      <c r="AV25" s="229"/>
      <c r="AW25" s="229"/>
      <c r="AX25" s="229"/>
      <c r="AY25" s="229"/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"/>
      <c r="BK25" s="25"/>
    </row>
    <row r="26" spans="2:63" ht="13.5" customHeight="1" x14ac:dyDescent="0.2">
      <c r="B26" s="24"/>
      <c r="C26" s="22"/>
      <c r="D26" s="227"/>
      <c r="E26" s="227"/>
      <c r="F26" s="227"/>
      <c r="G26" s="227"/>
      <c r="H26" s="227"/>
      <c r="I26" s="227"/>
      <c r="J26" s="226" t="s">
        <v>67</v>
      </c>
      <c r="K26" s="226"/>
      <c r="L26" s="226"/>
      <c r="M26" s="226"/>
      <c r="N26" s="226"/>
      <c r="O26" s="226"/>
      <c r="P26" s="226"/>
      <c r="Q26" s="226"/>
      <c r="R26" s="226"/>
      <c r="S26" s="226"/>
      <c r="T26" s="226"/>
      <c r="U26" s="226"/>
      <c r="V26" s="226"/>
      <c r="W26" s="226"/>
      <c r="X26" s="226"/>
      <c r="Y26" s="226"/>
      <c r="Z26" s="226" t="s">
        <v>69</v>
      </c>
      <c r="AA26" s="226"/>
      <c r="AB26" s="226"/>
      <c r="AC26" s="226"/>
      <c r="AD26" s="226"/>
      <c r="AE26" s="226"/>
      <c r="AF26" s="226"/>
      <c r="AG26" s="226"/>
      <c r="AH26" s="226"/>
      <c r="AI26" s="226"/>
      <c r="AJ26" s="226"/>
      <c r="AK26" s="226"/>
      <c r="AL26" s="226"/>
      <c r="AM26" s="226"/>
      <c r="AN26" s="226"/>
      <c r="AO26" s="226"/>
      <c r="AP26" s="226" t="s">
        <v>72</v>
      </c>
      <c r="AQ26" s="226"/>
      <c r="AR26" s="226"/>
      <c r="AS26" s="226"/>
      <c r="AT26" s="226"/>
      <c r="AU26" s="226"/>
      <c r="AV26" s="226"/>
      <c r="AW26" s="226"/>
      <c r="AX26" s="226"/>
      <c r="AY26" s="226"/>
      <c r="AZ26" s="226" t="s">
        <v>71</v>
      </c>
      <c r="BA26" s="226"/>
      <c r="BB26" s="226"/>
      <c r="BC26" s="226"/>
      <c r="BD26" s="226"/>
      <c r="BE26" s="226"/>
      <c r="BF26" s="226"/>
      <c r="BG26" s="226"/>
      <c r="BH26" s="226"/>
      <c r="BI26" s="226"/>
      <c r="BJ26" s="22"/>
      <c r="BK26" s="25"/>
    </row>
    <row r="27" spans="2:63" ht="13.5" customHeight="1" x14ac:dyDescent="0.2">
      <c r="B27" s="24"/>
      <c r="C27" s="22"/>
      <c r="D27" s="227"/>
      <c r="E27" s="227"/>
      <c r="F27" s="227"/>
      <c r="G27" s="227"/>
      <c r="H27" s="227"/>
      <c r="I27" s="227"/>
      <c r="J27" s="226"/>
      <c r="K27" s="226"/>
      <c r="L27" s="226"/>
      <c r="M27" s="226"/>
      <c r="N27" s="226"/>
      <c r="O27" s="226"/>
      <c r="P27" s="226"/>
      <c r="Q27" s="226"/>
      <c r="R27" s="226"/>
      <c r="S27" s="226"/>
      <c r="T27" s="226"/>
      <c r="U27" s="226"/>
      <c r="V27" s="226"/>
      <c r="W27" s="226"/>
      <c r="X27" s="226"/>
      <c r="Y27" s="226"/>
      <c r="Z27" s="226"/>
      <c r="AA27" s="226"/>
      <c r="AB27" s="226"/>
      <c r="AC27" s="226"/>
      <c r="AD27" s="226"/>
      <c r="AE27" s="226"/>
      <c r="AF27" s="226"/>
      <c r="AG27" s="226"/>
      <c r="AH27" s="226"/>
      <c r="AI27" s="226"/>
      <c r="AJ27" s="226"/>
      <c r="AK27" s="226"/>
      <c r="AL27" s="226"/>
      <c r="AM27" s="226"/>
      <c r="AN27" s="226"/>
      <c r="AO27" s="226"/>
      <c r="AP27" s="226"/>
      <c r="AQ27" s="226"/>
      <c r="AR27" s="226"/>
      <c r="AS27" s="226"/>
      <c r="AT27" s="226"/>
      <c r="AU27" s="226"/>
      <c r="AV27" s="226"/>
      <c r="AW27" s="226"/>
      <c r="AX27" s="226"/>
      <c r="AY27" s="226"/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"/>
      <c r="BK27" s="25"/>
    </row>
    <row r="28" spans="2:63" ht="13.5" customHeight="1" x14ac:dyDescent="0.2">
      <c r="B28" s="24"/>
      <c r="C28" s="22"/>
      <c r="D28" s="227"/>
      <c r="E28" s="227"/>
      <c r="F28" s="227"/>
      <c r="G28" s="227"/>
      <c r="H28" s="227"/>
      <c r="I28" s="227"/>
      <c r="J28" s="226" t="s">
        <v>68</v>
      </c>
      <c r="K28" s="226"/>
      <c r="L28" s="226"/>
      <c r="M28" s="226"/>
      <c r="N28" s="226"/>
      <c r="O28" s="226"/>
      <c r="P28" s="226"/>
      <c r="Q28" s="226"/>
      <c r="R28" s="226"/>
      <c r="S28" s="226"/>
      <c r="T28" s="226"/>
      <c r="U28" s="226"/>
      <c r="V28" s="226"/>
      <c r="W28" s="226"/>
      <c r="X28" s="226"/>
      <c r="Y28" s="226"/>
      <c r="Z28" s="226" t="s">
        <v>70</v>
      </c>
      <c r="AA28" s="226"/>
      <c r="AB28" s="226"/>
      <c r="AC28" s="226"/>
      <c r="AD28" s="226"/>
      <c r="AE28" s="226"/>
      <c r="AF28" s="226"/>
      <c r="AG28" s="226"/>
      <c r="AH28" s="226"/>
      <c r="AI28" s="226"/>
      <c r="AJ28" s="226"/>
      <c r="AK28" s="226"/>
      <c r="AL28" s="226"/>
      <c r="AM28" s="226"/>
      <c r="AN28" s="226"/>
      <c r="AO28" s="226"/>
      <c r="AP28" s="226" t="s">
        <v>68</v>
      </c>
      <c r="AQ28" s="226"/>
      <c r="AR28" s="226"/>
      <c r="AS28" s="226"/>
      <c r="AT28" s="226"/>
      <c r="AU28" s="226"/>
      <c r="AV28" s="226"/>
      <c r="AW28" s="226"/>
      <c r="AX28" s="226"/>
      <c r="AY28" s="226"/>
      <c r="AZ28" s="226" t="s">
        <v>72</v>
      </c>
      <c r="BA28" s="226"/>
      <c r="BB28" s="226"/>
      <c r="BC28" s="226"/>
      <c r="BD28" s="226"/>
      <c r="BE28" s="226"/>
      <c r="BF28" s="226"/>
      <c r="BG28" s="226"/>
      <c r="BH28" s="226"/>
      <c r="BI28" s="226"/>
      <c r="BJ28" s="22"/>
      <c r="BK28" s="25"/>
    </row>
    <row r="29" spans="2:63" ht="13.5" customHeight="1" x14ac:dyDescent="0.2">
      <c r="B29" s="24"/>
      <c r="C29" s="22"/>
      <c r="D29" s="227"/>
      <c r="E29" s="227"/>
      <c r="F29" s="227"/>
      <c r="G29" s="227"/>
      <c r="H29" s="227"/>
      <c r="I29" s="227"/>
      <c r="J29" s="226"/>
      <c r="K29" s="226"/>
      <c r="L29" s="226"/>
      <c r="M29" s="226"/>
      <c r="N29" s="226"/>
      <c r="O29" s="226"/>
      <c r="P29" s="226"/>
      <c r="Q29" s="226"/>
      <c r="R29" s="226"/>
      <c r="S29" s="226"/>
      <c r="T29" s="226"/>
      <c r="U29" s="226"/>
      <c r="V29" s="226"/>
      <c r="W29" s="226"/>
      <c r="X29" s="226"/>
      <c r="Y29" s="226"/>
      <c r="Z29" s="226"/>
      <c r="AA29" s="226"/>
      <c r="AB29" s="226"/>
      <c r="AC29" s="226"/>
      <c r="AD29" s="226"/>
      <c r="AE29" s="226"/>
      <c r="AF29" s="226"/>
      <c r="AG29" s="226"/>
      <c r="AH29" s="226"/>
      <c r="AI29" s="226"/>
      <c r="AJ29" s="226"/>
      <c r="AK29" s="226"/>
      <c r="AL29" s="226"/>
      <c r="AM29" s="226"/>
      <c r="AN29" s="226"/>
      <c r="AO29" s="226"/>
      <c r="AP29" s="226"/>
      <c r="AQ29" s="226"/>
      <c r="AR29" s="226"/>
      <c r="AS29" s="226"/>
      <c r="AT29" s="226"/>
      <c r="AU29" s="226"/>
      <c r="AV29" s="226"/>
      <c r="AW29" s="226"/>
      <c r="AX29" s="226"/>
      <c r="AY29" s="226"/>
      <c r="AZ29" s="226"/>
      <c r="BA29" s="226"/>
      <c r="BB29" s="226"/>
      <c r="BC29" s="226"/>
      <c r="BD29" s="226"/>
      <c r="BE29" s="226"/>
      <c r="BF29" s="226"/>
      <c r="BG29" s="226"/>
      <c r="BH29" s="226"/>
      <c r="BI29" s="226"/>
      <c r="BJ29" s="22"/>
      <c r="BK29" s="25"/>
    </row>
    <row r="30" spans="2:63" ht="13.5" customHeight="1" x14ac:dyDescent="0.2">
      <c r="B30" s="24"/>
      <c r="C30" s="22"/>
      <c r="D30" s="228" t="s">
        <v>41</v>
      </c>
      <c r="E30" s="227"/>
      <c r="F30" s="227"/>
      <c r="G30" s="227"/>
      <c r="H30" s="227"/>
      <c r="I30" s="227"/>
      <c r="J30" s="226" t="s">
        <v>42</v>
      </c>
      <c r="K30" s="226"/>
      <c r="L30" s="226"/>
      <c r="M30" s="226"/>
      <c r="N30" s="226"/>
      <c r="O30" s="226"/>
      <c r="P30" s="226"/>
      <c r="Q30" s="226"/>
      <c r="R30" s="226"/>
      <c r="S30" s="226"/>
      <c r="T30" s="226"/>
      <c r="U30" s="226"/>
      <c r="V30" s="226"/>
      <c r="W30" s="226"/>
      <c r="X30" s="226"/>
      <c r="Y30" s="226"/>
      <c r="Z30" s="226" t="s">
        <v>68</v>
      </c>
      <c r="AA30" s="226"/>
      <c r="AB30" s="226"/>
      <c r="AC30" s="226"/>
      <c r="AD30" s="226"/>
      <c r="AE30" s="226"/>
      <c r="AF30" s="226"/>
      <c r="AG30" s="226"/>
      <c r="AH30" s="226"/>
      <c r="AI30" s="226"/>
      <c r="AJ30" s="226"/>
      <c r="AK30" s="226"/>
      <c r="AL30" s="226"/>
      <c r="AM30" s="226"/>
      <c r="AN30" s="226"/>
      <c r="AO30" s="226"/>
      <c r="AP30" s="226" t="s">
        <v>69</v>
      </c>
      <c r="AQ30" s="226"/>
      <c r="AR30" s="226"/>
      <c r="AS30" s="226"/>
      <c r="AT30" s="226"/>
      <c r="AU30" s="226"/>
      <c r="AV30" s="226"/>
      <c r="AW30" s="226"/>
      <c r="AX30" s="226"/>
      <c r="AY30" s="226"/>
      <c r="AZ30" s="226"/>
      <c r="BA30" s="226"/>
      <c r="BB30" s="226"/>
      <c r="BC30" s="226"/>
      <c r="BD30" s="226"/>
      <c r="BE30" s="226"/>
      <c r="BF30" s="226"/>
      <c r="BG30" s="226"/>
      <c r="BH30" s="226"/>
      <c r="BI30" s="226"/>
      <c r="BJ30" s="22"/>
      <c r="BK30" s="25"/>
    </row>
    <row r="31" spans="2:63" ht="13.5" customHeight="1" x14ac:dyDescent="0.2">
      <c r="B31" s="24"/>
      <c r="C31" s="22"/>
      <c r="D31" s="227"/>
      <c r="E31" s="227"/>
      <c r="F31" s="227"/>
      <c r="G31" s="227"/>
      <c r="H31" s="227"/>
      <c r="I31" s="227"/>
      <c r="J31" s="226"/>
      <c r="K31" s="226"/>
      <c r="L31" s="226"/>
      <c r="M31" s="226"/>
      <c r="N31" s="226"/>
      <c r="O31" s="226"/>
      <c r="P31" s="226"/>
      <c r="Q31" s="226"/>
      <c r="R31" s="226"/>
      <c r="S31" s="226"/>
      <c r="T31" s="226"/>
      <c r="U31" s="226"/>
      <c r="V31" s="226"/>
      <c r="W31" s="226"/>
      <c r="X31" s="226"/>
      <c r="Y31" s="226"/>
      <c r="Z31" s="226"/>
      <c r="AA31" s="226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6"/>
      <c r="AM31" s="226"/>
      <c r="AN31" s="226"/>
      <c r="AO31" s="226"/>
      <c r="AP31" s="226"/>
      <c r="AQ31" s="226"/>
      <c r="AR31" s="226"/>
      <c r="AS31" s="226"/>
      <c r="AT31" s="226"/>
      <c r="AU31" s="226"/>
      <c r="AV31" s="226"/>
      <c r="AW31" s="226"/>
      <c r="AX31" s="226"/>
      <c r="AY31" s="226"/>
      <c r="AZ31" s="226"/>
      <c r="BA31" s="226"/>
      <c r="BB31" s="226"/>
      <c r="BC31" s="226"/>
      <c r="BD31" s="226"/>
      <c r="BE31" s="226"/>
      <c r="BF31" s="226"/>
      <c r="BG31" s="226"/>
      <c r="BH31" s="226"/>
      <c r="BI31" s="226"/>
      <c r="BJ31" s="22"/>
      <c r="BK31" s="25"/>
    </row>
    <row r="32" spans="2:63" ht="13.5" customHeight="1" x14ac:dyDescent="0.2">
      <c r="B32" s="24"/>
      <c r="C32" s="22"/>
      <c r="D32" s="227"/>
      <c r="E32" s="227"/>
      <c r="F32" s="227"/>
      <c r="G32" s="227"/>
      <c r="H32" s="227"/>
      <c r="I32" s="227"/>
      <c r="J32" s="226" t="s">
        <v>44</v>
      </c>
      <c r="K32" s="226"/>
      <c r="L32" s="226"/>
      <c r="M32" s="226"/>
      <c r="N32" s="226"/>
      <c r="O32" s="226"/>
      <c r="P32" s="226"/>
      <c r="Q32" s="226"/>
      <c r="R32" s="226"/>
      <c r="S32" s="226"/>
      <c r="T32" s="226"/>
      <c r="U32" s="226"/>
      <c r="V32" s="226"/>
      <c r="W32" s="226"/>
      <c r="X32" s="226"/>
      <c r="Y32" s="226"/>
      <c r="Z32" s="226" t="s">
        <v>44</v>
      </c>
      <c r="AA32" s="226"/>
      <c r="AB32" s="226"/>
      <c r="AC32" s="226"/>
      <c r="AD32" s="226"/>
      <c r="AE32" s="226"/>
      <c r="AF32" s="226"/>
      <c r="AG32" s="226"/>
      <c r="AH32" s="226"/>
      <c r="AI32" s="226"/>
      <c r="AJ32" s="226"/>
      <c r="AK32" s="226"/>
      <c r="AL32" s="226"/>
      <c r="AM32" s="226"/>
      <c r="AN32" s="226"/>
      <c r="AO32" s="226"/>
      <c r="AP32" s="226" t="s">
        <v>44</v>
      </c>
      <c r="AQ32" s="226"/>
      <c r="AR32" s="226"/>
      <c r="AS32" s="226"/>
      <c r="AT32" s="226"/>
      <c r="AU32" s="226"/>
      <c r="AV32" s="226"/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"/>
      <c r="BK32" s="25"/>
    </row>
    <row r="33" spans="1:63" ht="13.5" customHeight="1" x14ac:dyDescent="0.2">
      <c r="B33" s="24"/>
      <c r="C33" s="22"/>
      <c r="D33" s="227"/>
      <c r="E33" s="227"/>
      <c r="F33" s="227"/>
      <c r="G33" s="227"/>
      <c r="H33" s="227"/>
      <c r="I33" s="227"/>
      <c r="J33" s="226"/>
      <c r="K33" s="226"/>
      <c r="L33" s="226"/>
      <c r="M33" s="226"/>
      <c r="N33" s="226"/>
      <c r="O33" s="226"/>
      <c r="P33" s="226"/>
      <c r="Q33" s="226"/>
      <c r="R33" s="226"/>
      <c r="S33" s="226"/>
      <c r="T33" s="226"/>
      <c r="U33" s="226"/>
      <c r="V33" s="226"/>
      <c r="W33" s="226"/>
      <c r="X33" s="226"/>
      <c r="Y33" s="226"/>
      <c r="Z33" s="226"/>
      <c r="AA33" s="226"/>
      <c r="AB33" s="226"/>
      <c r="AC33" s="226"/>
      <c r="AD33" s="226"/>
      <c r="AE33" s="226"/>
      <c r="AF33" s="226"/>
      <c r="AG33" s="226"/>
      <c r="AH33" s="226"/>
      <c r="AI33" s="226"/>
      <c r="AJ33" s="226"/>
      <c r="AK33" s="226"/>
      <c r="AL33" s="226"/>
      <c r="AM33" s="226"/>
      <c r="AN33" s="226"/>
      <c r="AO33" s="226"/>
      <c r="AP33" s="226"/>
      <c r="AQ33" s="226"/>
      <c r="AR33" s="226"/>
      <c r="AS33" s="226"/>
      <c r="AT33" s="226"/>
      <c r="AU33" s="226"/>
      <c r="AV33" s="226"/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"/>
      <c r="BK33" s="25"/>
    </row>
    <row r="34" spans="1:63" ht="13.5" customHeight="1" x14ac:dyDescent="0.2">
      <c r="B34" s="24"/>
      <c r="C34" s="22"/>
      <c r="D34" s="227"/>
      <c r="E34" s="227"/>
      <c r="F34" s="227"/>
      <c r="G34" s="227"/>
      <c r="H34" s="227"/>
      <c r="I34" s="227"/>
      <c r="J34" s="226" t="s">
        <v>44</v>
      </c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  <c r="W34" s="226"/>
      <c r="X34" s="226"/>
      <c r="Y34" s="226"/>
      <c r="Z34" s="226" t="s">
        <v>67</v>
      </c>
      <c r="AA34" s="226"/>
      <c r="AB34" s="226"/>
      <c r="AC34" s="226"/>
      <c r="AD34" s="226"/>
      <c r="AE34" s="226"/>
      <c r="AF34" s="226"/>
      <c r="AG34" s="226"/>
      <c r="AH34" s="226"/>
      <c r="AI34" s="226"/>
      <c r="AJ34" s="226"/>
      <c r="AK34" s="226"/>
      <c r="AL34" s="226"/>
      <c r="AM34" s="226"/>
      <c r="AN34" s="226"/>
      <c r="AO34" s="226"/>
      <c r="AP34" s="226" t="s">
        <v>44</v>
      </c>
      <c r="AQ34" s="226"/>
      <c r="AR34" s="226"/>
      <c r="AS34" s="226"/>
      <c r="AT34" s="226"/>
      <c r="AU34" s="226"/>
      <c r="AV34" s="226"/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"/>
      <c r="BK34" s="25"/>
    </row>
    <row r="35" spans="1:63" ht="13.5" customHeight="1" x14ac:dyDescent="0.2">
      <c r="B35" s="24"/>
      <c r="C35" s="22"/>
      <c r="D35" s="227"/>
      <c r="E35" s="227"/>
      <c r="F35" s="227"/>
      <c r="G35" s="227"/>
      <c r="H35" s="227"/>
      <c r="I35" s="227"/>
      <c r="J35" s="226"/>
      <c r="K35" s="226"/>
      <c r="L35" s="226"/>
      <c r="M35" s="226"/>
      <c r="N35" s="226"/>
      <c r="O35" s="226"/>
      <c r="P35" s="226"/>
      <c r="Q35" s="226"/>
      <c r="R35" s="226"/>
      <c r="S35" s="226"/>
      <c r="T35" s="226"/>
      <c r="U35" s="226"/>
      <c r="V35" s="226"/>
      <c r="W35" s="226"/>
      <c r="X35" s="226"/>
      <c r="Y35" s="226"/>
      <c r="Z35" s="226"/>
      <c r="AA35" s="226"/>
      <c r="AB35" s="226"/>
      <c r="AC35" s="226"/>
      <c r="AD35" s="226"/>
      <c r="AE35" s="226"/>
      <c r="AF35" s="226"/>
      <c r="AG35" s="226"/>
      <c r="AH35" s="226"/>
      <c r="AI35" s="226"/>
      <c r="AJ35" s="226"/>
      <c r="AK35" s="226"/>
      <c r="AL35" s="226"/>
      <c r="AM35" s="226"/>
      <c r="AN35" s="226"/>
      <c r="AO35" s="226"/>
      <c r="AP35" s="226"/>
      <c r="AQ35" s="226"/>
      <c r="AR35" s="226"/>
      <c r="AS35" s="226"/>
      <c r="AT35" s="226"/>
      <c r="AU35" s="226"/>
      <c r="AV35" s="226"/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"/>
      <c r="BK35" s="25"/>
    </row>
    <row r="36" spans="1:63" ht="13.5" customHeight="1" x14ac:dyDescent="0.2">
      <c r="B36" s="24"/>
      <c r="C36" s="22"/>
      <c r="D36" s="227"/>
      <c r="E36" s="227"/>
      <c r="F36" s="227"/>
      <c r="G36" s="227"/>
      <c r="H36" s="227"/>
      <c r="I36" s="227"/>
      <c r="J36" s="226" t="s">
        <v>44</v>
      </c>
      <c r="K36" s="226"/>
      <c r="L36" s="226"/>
      <c r="M36" s="226"/>
      <c r="N36" s="226"/>
      <c r="O36" s="226"/>
      <c r="P36" s="226"/>
      <c r="Q36" s="226"/>
      <c r="R36" s="226"/>
      <c r="S36" s="226"/>
      <c r="T36" s="226"/>
      <c r="U36" s="226"/>
      <c r="V36" s="226"/>
      <c r="W36" s="226"/>
      <c r="X36" s="226"/>
      <c r="Y36" s="226"/>
      <c r="Z36" s="226" t="s">
        <v>44</v>
      </c>
      <c r="AA36" s="226"/>
      <c r="AB36" s="226"/>
      <c r="AC36" s="226"/>
      <c r="AD36" s="226"/>
      <c r="AE36" s="226"/>
      <c r="AF36" s="226"/>
      <c r="AG36" s="226"/>
      <c r="AH36" s="226"/>
      <c r="AI36" s="226"/>
      <c r="AJ36" s="226"/>
      <c r="AK36" s="226"/>
      <c r="AL36" s="226"/>
      <c r="AM36" s="226"/>
      <c r="AN36" s="226"/>
      <c r="AO36" s="226"/>
      <c r="AP36" s="226" t="s">
        <v>67</v>
      </c>
      <c r="AQ36" s="226"/>
      <c r="AR36" s="226"/>
      <c r="AS36" s="226"/>
      <c r="AT36" s="226"/>
      <c r="AU36" s="226"/>
      <c r="AV36" s="226"/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"/>
      <c r="BK36" s="25"/>
    </row>
    <row r="37" spans="1:63" ht="13.5" customHeight="1" x14ac:dyDescent="0.2">
      <c r="B37" s="24"/>
      <c r="C37" s="22"/>
      <c r="D37" s="227"/>
      <c r="E37" s="227"/>
      <c r="F37" s="227"/>
      <c r="G37" s="227"/>
      <c r="H37" s="227"/>
      <c r="I37" s="227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226"/>
      <c r="AS37" s="226"/>
      <c r="AT37" s="226"/>
      <c r="AU37" s="226"/>
      <c r="AV37" s="226"/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"/>
      <c r="BK37" s="25"/>
    </row>
    <row r="38" spans="1:63" ht="13.5" customHeight="1" x14ac:dyDescent="0.2">
      <c r="B38" s="24"/>
      <c r="C38" s="22"/>
      <c r="D38" s="22"/>
      <c r="E38" s="22"/>
      <c r="F38" s="22"/>
      <c r="G38" s="161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1:63" ht="13.5" customHeight="1" x14ac:dyDescent="0.2">
      <c r="B39" s="24"/>
      <c r="C39" s="22"/>
      <c r="D39" s="22"/>
      <c r="E39" s="22"/>
      <c r="F39" s="22"/>
      <c r="G39" s="161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1:63" ht="13.5" customHeight="1" x14ac:dyDescent="0.2"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  <row r="41" spans="1:63" ht="13.5" customHeight="1" x14ac:dyDescent="0.2">
      <c r="A41" s="20"/>
      <c r="B41" s="40"/>
      <c r="C41" s="41"/>
      <c r="D41" s="41"/>
      <c r="E41" s="42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3"/>
    </row>
    <row r="42" spans="1:63" ht="13.5" customHeight="1" x14ac:dyDescent="0.2">
      <c r="A42" s="20"/>
      <c r="B42" s="24"/>
      <c r="D42" s="196" t="s">
        <v>146</v>
      </c>
      <c r="BK42" s="25"/>
    </row>
    <row r="43" spans="1:63" ht="13.5" customHeight="1" x14ac:dyDescent="0.2">
      <c r="A43" s="20"/>
      <c r="B43" s="24"/>
      <c r="BK43" s="25"/>
    </row>
    <row r="44" spans="1:63" ht="13.5" customHeight="1" x14ac:dyDescent="0.2">
      <c r="B44" s="24"/>
      <c r="K44" s="233">
        <v>8</v>
      </c>
      <c r="L44" s="247"/>
      <c r="M44" s="247"/>
      <c r="N44" s="234"/>
      <c r="O44" s="233">
        <v>9</v>
      </c>
      <c r="P44" s="247"/>
      <c r="Q44" s="247"/>
      <c r="R44" s="234"/>
      <c r="S44" s="233">
        <v>10</v>
      </c>
      <c r="T44" s="247"/>
      <c r="U44" s="247"/>
      <c r="V44" s="234"/>
      <c r="W44" s="233">
        <v>11</v>
      </c>
      <c r="X44" s="247"/>
      <c r="Y44" s="247"/>
      <c r="Z44" s="234"/>
      <c r="AA44" s="233">
        <v>12</v>
      </c>
      <c r="AB44" s="247"/>
      <c r="AC44" s="247"/>
      <c r="AD44" s="234"/>
      <c r="AE44" s="233">
        <v>13</v>
      </c>
      <c r="AF44" s="247"/>
      <c r="AG44" s="247"/>
      <c r="AH44" s="234"/>
      <c r="AI44" s="233">
        <v>14</v>
      </c>
      <c r="AJ44" s="247"/>
      <c r="AK44" s="247"/>
      <c r="AL44" s="234"/>
      <c r="AM44" s="233">
        <v>15</v>
      </c>
      <c r="AN44" s="247"/>
      <c r="AO44" s="247"/>
      <c r="AP44" s="234"/>
      <c r="AQ44" s="233">
        <v>16</v>
      </c>
      <c r="AR44" s="247"/>
      <c r="AS44" s="247"/>
      <c r="AT44" s="234"/>
      <c r="AU44" s="233">
        <v>17</v>
      </c>
      <c r="AV44" s="247"/>
      <c r="AW44" s="247"/>
      <c r="AX44" s="234"/>
      <c r="AY44" s="233">
        <v>18</v>
      </c>
      <c r="AZ44" s="247"/>
      <c r="BA44" s="247"/>
      <c r="BB44" s="234"/>
      <c r="BK44" s="25"/>
    </row>
    <row r="45" spans="1:63" ht="13.5" customHeight="1" x14ac:dyDescent="0.2">
      <c r="B45" s="24"/>
      <c r="K45" s="129"/>
      <c r="L45" s="130"/>
      <c r="M45" s="130"/>
      <c r="N45" s="135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1"/>
      <c r="AB45" s="122"/>
      <c r="AC45" s="122"/>
      <c r="AD45" s="123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9"/>
      <c r="AV45" s="130"/>
      <c r="AW45" s="130"/>
      <c r="AX45" s="130"/>
      <c r="AY45" s="130"/>
      <c r="AZ45" s="130"/>
      <c r="BA45" s="130"/>
      <c r="BB45" s="135"/>
      <c r="BK45" s="25"/>
    </row>
    <row r="46" spans="1:63" ht="13.5" customHeight="1" x14ac:dyDescent="0.2">
      <c r="B46" s="24"/>
      <c r="E46" s="196" t="s">
        <v>147</v>
      </c>
      <c r="K46" s="131"/>
      <c r="L46" s="132"/>
      <c r="M46" s="132"/>
      <c r="N46" s="136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124"/>
      <c r="AB46" s="20"/>
      <c r="AC46" s="20"/>
      <c r="AD46" s="125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131"/>
      <c r="AV46" s="132"/>
      <c r="AW46" s="132"/>
      <c r="AX46" s="132"/>
      <c r="AY46" s="132"/>
      <c r="AZ46" s="132"/>
      <c r="BA46" s="132"/>
      <c r="BB46" s="136"/>
      <c r="BK46" s="25"/>
    </row>
    <row r="47" spans="1:63" ht="13.5" customHeight="1" x14ac:dyDescent="0.2">
      <c r="B47" s="24"/>
      <c r="E47" s="196" t="s">
        <v>212</v>
      </c>
      <c r="K47" s="131"/>
      <c r="L47" s="132"/>
      <c r="M47" s="132"/>
      <c r="N47" s="136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124"/>
      <c r="AB47" s="198" t="s">
        <v>150</v>
      </c>
      <c r="AC47" s="20"/>
      <c r="AD47" s="125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131"/>
      <c r="AV47" s="132"/>
      <c r="AW47" s="132"/>
      <c r="AX47" s="132"/>
      <c r="AY47" s="132"/>
      <c r="AZ47" s="132"/>
      <c r="BA47" s="132"/>
      <c r="BB47" s="136"/>
      <c r="BK47" s="25"/>
    </row>
    <row r="48" spans="1:63" ht="13.5" customHeight="1" x14ac:dyDescent="0.2">
      <c r="B48" s="24"/>
      <c r="K48" s="131"/>
      <c r="L48" s="132"/>
      <c r="M48" s="132"/>
      <c r="N48" s="136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124"/>
      <c r="AB48" s="20"/>
      <c r="AC48" s="20"/>
      <c r="AD48" s="125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131"/>
      <c r="AV48" s="132"/>
      <c r="AW48" s="132"/>
      <c r="AX48" s="132"/>
      <c r="AY48" s="132"/>
      <c r="AZ48" s="132"/>
      <c r="BA48" s="132"/>
      <c r="BB48" s="136"/>
      <c r="BK48" s="25"/>
    </row>
    <row r="49" spans="2:63" ht="13.5" customHeight="1" x14ac:dyDescent="0.2">
      <c r="B49" s="24"/>
      <c r="K49" s="131"/>
      <c r="L49" s="132"/>
      <c r="M49" s="132"/>
      <c r="N49" s="136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124"/>
      <c r="AB49" s="20"/>
      <c r="AC49" s="20"/>
      <c r="AD49" s="125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131"/>
      <c r="AV49" s="132"/>
      <c r="AW49" s="132"/>
      <c r="AX49" s="132"/>
      <c r="AY49" s="132"/>
      <c r="AZ49" s="132"/>
      <c r="BA49" s="132"/>
      <c r="BB49" s="136"/>
      <c r="BK49" s="25"/>
    </row>
    <row r="50" spans="2:63" ht="13.5" customHeight="1" x14ac:dyDescent="0.2">
      <c r="B50" s="24"/>
      <c r="K50" s="133"/>
      <c r="L50" s="134"/>
      <c r="M50" s="134"/>
      <c r="N50" s="13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6"/>
      <c r="AB50" s="127"/>
      <c r="AC50" s="127"/>
      <c r="AD50" s="128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33"/>
      <c r="AV50" s="134"/>
      <c r="AW50" s="134"/>
      <c r="AX50" s="134"/>
      <c r="AY50" s="134"/>
      <c r="AZ50" s="134"/>
      <c r="BA50" s="134"/>
      <c r="BB50" s="137"/>
      <c r="BK50" s="25"/>
    </row>
    <row r="51" spans="2:63" ht="13.5" customHeight="1" x14ac:dyDescent="0.2">
      <c r="B51" s="24"/>
      <c r="BK51" s="25"/>
    </row>
    <row r="52" spans="2:63" ht="13.5" customHeight="1" x14ac:dyDescent="0.2">
      <c r="B52" s="24"/>
      <c r="BK52" s="25"/>
    </row>
    <row r="53" spans="2:63" ht="13.5" customHeight="1" x14ac:dyDescent="0.2">
      <c r="B53" s="24"/>
      <c r="BK53" s="25"/>
    </row>
    <row r="54" spans="2:63" ht="13.5" customHeight="1" x14ac:dyDescent="0.2">
      <c r="B54" s="24"/>
      <c r="K54" s="233">
        <v>8</v>
      </c>
      <c r="L54" s="247"/>
      <c r="M54" s="247"/>
      <c r="N54" s="234"/>
      <c r="O54" s="233">
        <v>9</v>
      </c>
      <c r="P54" s="247"/>
      <c r="Q54" s="247"/>
      <c r="R54" s="234"/>
      <c r="S54" s="233">
        <v>10</v>
      </c>
      <c r="T54" s="247"/>
      <c r="U54" s="247"/>
      <c r="V54" s="234"/>
      <c r="W54" s="233">
        <v>11</v>
      </c>
      <c r="X54" s="247"/>
      <c r="Y54" s="247"/>
      <c r="Z54" s="234"/>
      <c r="AA54" s="233">
        <v>12</v>
      </c>
      <c r="AB54" s="247"/>
      <c r="AC54" s="247"/>
      <c r="AD54" s="234"/>
      <c r="AE54" s="233">
        <v>13</v>
      </c>
      <c r="AF54" s="247"/>
      <c r="AG54" s="247"/>
      <c r="AH54" s="234"/>
      <c r="AI54" s="233">
        <v>14</v>
      </c>
      <c r="AJ54" s="247"/>
      <c r="AK54" s="247"/>
      <c r="AL54" s="234"/>
      <c r="AM54" s="233">
        <v>15</v>
      </c>
      <c r="AN54" s="247"/>
      <c r="AO54" s="247"/>
      <c r="AP54" s="234"/>
      <c r="AQ54" s="233">
        <v>16</v>
      </c>
      <c r="AR54" s="247"/>
      <c r="AS54" s="247"/>
      <c r="AT54" s="234"/>
      <c r="AU54" s="233">
        <v>17</v>
      </c>
      <c r="AV54" s="247"/>
      <c r="AW54" s="247"/>
      <c r="AX54" s="234"/>
      <c r="AY54" s="233">
        <v>18</v>
      </c>
      <c r="AZ54" s="247"/>
      <c r="BA54" s="247"/>
      <c r="BB54" s="234"/>
      <c r="BK54" s="25"/>
    </row>
    <row r="55" spans="2:63" ht="13.5" customHeight="1" x14ac:dyDescent="0.2">
      <c r="B55" s="24"/>
      <c r="K55" s="129"/>
      <c r="L55" s="130"/>
      <c r="M55" s="130"/>
      <c r="N55" s="135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1"/>
      <c r="AB55" s="122"/>
      <c r="AC55" s="122"/>
      <c r="AD55" s="123"/>
      <c r="AE55" s="122"/>
      <c r="AF55" s="122"/>
      <c r="AG55" s="122"/>
      <c r="AH55" s="122"/>
      <c r="AI55" s="122"/>
      <c r="AJ55" s="122"/>
      <c r="AK55" s="122"/>
      <c r="AL55" s="122"/>
      <c r="AM55" s="122"/>
      <c r="AN55" s="122"/>
      <c r="AO55" s="122"/>
      <c r="AP55" s="122"/>
      <c r="AQ55" s="122"/>
      <c r="AR55" s="122"/>
      <c r="AS55" s="122"/>
      <c r="AT55" s="122"/>
      <c r="AU55" s="129"/>
      <c r="AV55" s="130"/>
      <c r="AW55" s="130"/>
      <c r="AX55" s="130"/>
      <c r="AY55" s="130"/>
      <c r="AZ55" s="130"/>
      <c r="BA55" s="130"/>
      <c r="BB55" s="135"/>
      <c r="BK55" s="25"/>
    </row>
    <row r="56" spans="2:63" ht="13.5" customHeight="1" x14ac:dyDescent="0.2">
      <c r="B56" s="24"/>
      <c r="E56" s="196" t="s">
        <v>148</v>
      </c>
      <c r="K56" s="131"/>
      <c r="L56" s="132"/>
      <c r="M56" s="132"/>
      <c r="N56" s="136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124"/>
      <c r="AB56" s="20"/>
      <c r="AC56" s="20"/>
      <c r="AD56" s="125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131"/>
      <c r="AV56" s="132"/>
      <c r="AW56" s="132"/>
      <c r="AX56" s="132"/>
      <c r="AY56" s="132"/>
      <c r="AZ56" s="132"/>
      <c r="BA56" s="132"/>
      <c r="BB56" s="136"/>
      <c r="BK56" s="25"/>
    </row>
    <row r="57" spans="2:63" ht="13.5" customHeight="1" x14ac:dyDescent="0.2">
      <c r="B57" s="24"/>
      <c r="E57" s="196" t="s">
        <v>212</v>
      </c>
      <c r="K57" s="131"/>
      <c r="L57" s="132"/>
      <c r="M57" s="132"/>
      <c r="N57" s="136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124"/>
      <c r="AB57" s="198" t="s">
        <v>150</v>
      </c>
      <c r="AC57" s="20"/>
      <c r="AD57" s="125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131"/>
      <c r="AV57" s="132"/>
      <c r="AW57" s="132"/>
      <c r="AX57" s="132"/>
      <c r="AY57" s="132"/>
      <c r="AZ57" s="132"/>
      <c r="BA57" s="132"/>
      <c r="BB57" s="136"/>
      <c r="BK57" s="25"/>
    </row>
    <row r="58" spans="2:63" ht="13.5" customHeight="1" x14ac:dyDescent="0.2">
      <c r="B58" s="24"/>
      <c r="K58" s="131"/>
      <c r="L58" s="132"/>
      <c r="M58" s="132"/>
      <c r="N58" s="136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124"/>
      <c r="AB58" s="20"/>
      <c r="AC58" s="20"/>
      <c r="AD58" s="125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131"/>
      <c r="AV58" s="132"/>
      <c r="AW58" s="132"/>
      <c r="AX58" s="132"/>
      <c r="AY58" s="132"/>
      <c r="AZ58" s="132"/>
      <c r="BA58" s="132"/>
      <c r="BB58" s="136"/>
      <c r="BK58" s="25"/>
    </row>
    <row r="59" spans="2:63" ht="13.5" customHeight="1" x14ac:dyDescent="0.2">
      <c r="B59" s="24"/>
      <c r="K59" s="131"/>
      <c r="L59" s="132"/>
      <c r="M59" s="132"/>
      <c r="N59" s="136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124"/>
      <c r="AB59" s="20"/>
      <c r="AC59" s="20"/>
      <c r="AD59" s="125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131"/>
      <c r="AV59" s="132"/>
      <c r="AW59" s="132"/>
      <c r="AX59" s="132"/>
      <c r="AY59" s="132"/>
      <c r="AZ59" s="132"/>
      <c r="BA59" s="132"/>
      <c r="BB59" s="136"/>
      <c r="BK59" s="25"/>
    </row>
    <row r="60" spans="2:63" ht="13.5" customHeight="1" x14ac:dyDescent="0.2">
      <c r="B60" s="24"/>
      <c r="K60" s="133"/>
      <c r="L60" s="134"/>
      <c r="M60" s="134"/>
      <c r="N60" s="13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6"/>
      <c r="AB60" s="127"/>
      <c r="AC60" s="127"/>
      <c r="AD60" s="128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33"/>
      <c r="AV60" s="134"/>
      <c r="AW60" s="134"/>
      <c r="AX60" s="134"/>
      <c r="AY60" s="134"/>
      <c r="AZ60" s="134"/>
      <c r="BA60" s="134"/>
      <c r="BB60" s="137"/>
      <c r="BK60" s="25"/>
    </row>
    <row r="61" spans="2:63" ht="13.5" customHeight="1" x14ac:dyDescent="0.2">
      <c r="B61" s="24"/>
      <c r="BK61" s="25"/>
    </row>
    <row r="62" spans="2:63" ht="13.5" customHeight="1" x14ac:dyDescent="0.2">
      <c r="B62" s="24"/>
      <c r="BK62" s="25"/>
    </row>
    <row r="63" spans="2:63" ht="13.5" customHeight="1" x14ac:dyDescent="0.2">
      <c r="B63" s="24"/>
      <c r="BK63" s="25"/>
    </row>
    <row r="64" spans="2:63" ht="13.5" customHeight="1" x14ac:dyDescent="0.2">
      <c r="B64" s="24"/>
      <c r="K64" s="233">
        <v>8</v>
      </c>
      <c r="L64" s="247"/>
      <c r="M64" s="247"/>
      <c r="N64" s="234"/>
      <c r="O64" s="233">
        <v>9</v>
      </c>
      <c r="P64" s="247"/>
      <c r="Q64" s="247"/>
      <c r="R64" s="234"/>
      <c r="S64" s="233">
        <v>10</v>
      </c>
      <c r="T64" s="247"/>
      <c r="U64" s="247"/>
      <c r="V64" s="234"/>
      <c r="W64" s="233">
        <v>11</v>
      </c>
      <c r="X64" s="247"/>
      <c r="Y64" s="247"/>
      <c r="Z64" s="234"/>
      <c r="AA64" s="233">
        <v>12</v>
      </c>
      <c r="AB64" s="247"/>
      <c r="AC64" s="247"/>
      <c r="AD64" s="234"/>
      <c r="AE64" s="233">
        <v>13</v>
      </c>
      <c r="AF64" s="247"/>
      <c r="AG64" s="247"/>
      <c r="AH64" s="234"/>
      <c r="AI64" s="233">
        <v>14</v>
      </c>
      <c r="AJ64" s="247"/>
      <c r="AK64" s="247"/>
      <c r="AL64" s="234"/>
      <c r="AM64" s="233">
        <v>15</v>
      </c>
      <c r="AN64" s="247"/>
      <c r="AO64" s="247"/>
      <c r="AP64" s="234"/>
      <c r="AQ64" s="233">
        <v>16</v>
      </c>
      <c r="AR64" s="247"/>
      <c r="AS64" s="247"/>
      <c r="AT64" s="234"/>
      <c r="AU64" s="233">
        <v>17</v>
      </c>
      <c r="AV64" s="247"/>
      <c r="AW64" s="247"/>
      <c r="AX64" s="234"/>
      <c r="AY64" s="233">
        <v>18</v>
      </c>
      <c r="AZ64" s="247"/>
      <c r="BA64" s="247"/>
      <c r="BB64" s="234"/>
      <c r="BK64" s="25"/>
    </row>
    <row r="65" spans="2:63" ht="13.5" customHeight="1" x14ac:dyDescent="0.2">
      <c r="B65" s="24"/>
      <c r="K65" s="129"/>
      <c r="L65" s="130"/>
      <c r="M65" s="130"/>
      <c r="N65" s="135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1"/>
      <c r="AB65" s="122"/>
      <c r="AC65" s="122"/>
      <c r="AD65" s="123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9"/>
      <c r="AV65" s="130"/>
      <c r="AW65" s="130"/>
      <c r="AX65" s="130"/>
      <c r="AY65" s="130"/>
      <c r="AZ65" s="130"/>
      <c r="BA65" s="130"/>
      <c r="BB65" s="135"/>
      <c r="BK65" s="25"/>
    </row>
    <row r="66" spans="2:63" ht="13.5" customHeight="1" x14ac:dyDescent="0.2">
      <c r="B66" s="24"/>
      <c r="E66" s="196" t="s">
        <v>149</v>
      </c>
      <c r="K66" s="131"/>
      <c r="L66" s="132"/>
      <c r="M66" s="132"/>
      <c r="N66" s="136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124"/>
      <c r="AB66" s="20"/>
      <c r="AC66" s="20"/>
      <c r="AD66" s="125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131"/>
      <c r="AV66" s="132"/>
      <c r="AW66" s="132"/>
      <c r="AX66" s="132"/>
      <c r="AY66" s="132"/>
      <c r="AZ66" s="132"/>
      <c r="BA66" s="132"/>
      <c r="BB66" s="136"/>
      <c r="BK66" s="25"/>
    </row>
    <row r="67" spans="2:63" ht="13.5" customHeight="1" x14ac:dyDescent="0.2">
      <c r="B67" s="24"/>
      <c r="E67" s="196" t="s">
        <v>212</v>
      </c>
      <c r="K67" s="131"/>
      <c r="L67" s="132"/>
      <c r="M67" s="132"/>
      <c r="N67" s="136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124"/>
      <c r="AB67" s="198" t="s">
        <v>150</v>
      </c>
      <c r="AC67" s="20"/>
      <c r="AD67" s="125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131"/>
      <c r="AV67" s="132"/>
      <c r="AW67" s="132"/>
      <c r="AX67" s="132"/>
      <c r="AY67" s="132"/>
      <c r="AZ67" s="132"/>
      <c r="BA67" s="132"/>
      <c r="BB67" s="136"/>
      <c r="BK67" s="25"/>
    </row>
    <row r="68" spans="2:63" ht="13.5" customHeight="1" x14ac:dyDescent="0.2">
      <c r="B68" s="24"/>
      <c r="K68" s="131"/>
      <c r="L68" s="132"/>
      <c r="M68" s="132"/>
      <c r="N68" s="136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124"/>
      <c r="AB68" s="20"/>
      <c r="AC68" s="20"/>
      <c r="AD68" s="125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131"/>
      <c r="AV68" s="132"/>
      <c r="AW68" s="132"/>
      <c r="AX68" s="132"/>
      <c r="AY68" s="132"/>
      <c r="AZ68" s="132"/>
      <c r="BA68" s="132"/>
      <c r="BB68" s="136"/>
      <c r="BK68" s="25"/>
    </row>
    <row r="69" spans="2:63" ht="13.5" customHeight="1" x14ac:dyDescent="0.2">
      <c r="B69" s="24"/>
      <c r="K69" s="131"/>
      <c r="L69" s="132"/>
      <c r="M69" s="132"/>
      <c r="N69" s="136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124"/>
      <c r="AB69" s="20"/>
      <c r="AC69" s="20"/>
      <c r="AD69" s="125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131"/>
      <c r="AV69" s="132"/>
      <c r="AW69" s="132"/>
      <c r="AX69" s="132"/>
      <c r="AY69" s="132"/>
      <c r="AZ69" s="132"/>
      <c r="BA69" s="132"/>
      <c r="BB69" s="136"/>
      <c r="BK69" s="25"/>
    </row>
    <row r="70" spans="2:63" ht="13.5" customHeight="1" x14ac:dyDescent="0.2">
      <c r="B70" s="24"/>
      <c r="K70" s="133"/>
      <c r="L70" s="134"/>
      <c r="M70" s="134"/>
      <c r="N70" s="13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6"/>
      <c r="AB70" s="127"/>
      <c r="AC70" s="127"/>
      <c r="AD70" s="128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33"/>
      <c r="AV70" s="134"/>
      <c r="AW70" s="134"/>
      <c r="AX70" s="134"/>
      <c r="AY70" s="134"/>
      <c r="AZ70" s="134"/>
      <c r="BA70" s="134"/>
      <c r="BB70" s="137"/>
      <c r="BK70" s="25"/>
    </row>
    <row r="71" spans="2:63" ht="13.5" customHeight="1" x14ac:dyDescent="0.2">
      <c r="B71" s="24"/>
      <c r="BK71" s="25"/>
    </row>
    <row r="72" spans="2:63" ht="13.5" customHeight="1" x14ac:dyDescent="0.2">
      <c r="B72" s="24"/>
      <c r="BK72" s="25"/>
    </row>
    <row r="73" spans="2:63" ht="13.5" customHeight="1" x14ac:dyDescent="0.2">
      <c r="B73" s="24"/>
      <c r="BK73" s="25"/>
    </row>
    <row r="74" spans="2:63" ht="13.5" customHeight="1" x14ac:dyDescent="0.2">
      <c r="B74" s="24"/>
      <c r="BK74" s="25"/>
    </row>
    <row r="75" spans="2:63" ht="13.5" customHeight="1" x14ac:dyDescent="0.2">
      <c r="B75" s="26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8"/>
    </row>
  </sheetData>
  <dataConsolidate/>
  <mergeCells count="91">
    <mergeCell ref="AY54:BB54"/>
    <mergeCell ref="K64:N64"/>
    <mergeCell ref="O64:R64"/>
    <mergeCell ref="S64:V64"/>
    <mergeCell ref="W64:Z64"/>
    <mergeCell ref="AA64:AD64"/>
    <mergeCell ref="AE64:AH64"/>
    <mergeCell ref="AI64:AL64"/>
    <mergeCell ref="AM64:AP64"/>
    <mergeCell ref="AQ64:AT64"/>
    <mergeCell ref="AU64:AX64"/>
    <mergeCell ref="AY64:BB64"/>
    <mergeCell ref="AE54:AH54"/>
    <mergeCell ref="AI54:AL54"/>
    <mergeCell ref="AM54:AP54"/>
    <mergeCell ref="AQ54:AT54"/>
    <mergeCell ref="AU54:AX54"/>
    <mergeCell ref="K54:N54"/>
    <mergeCell ref="O54:R54"/>
    <mergeCell ref="S54:V54"/>
    <mergeCell ref="W54:Z54"/>
    <mergeCell ref="AA54:AD54"/>
    <mergeCell ref="AY44:BB44"/>
    <mergeCell ref="AE44:AH44"/>
    <mergeCell ref="AI44:AL44"/>
    <mergeCell ref="AM44:AP44"/>
    <mergeCell ref="AQ44:AT44"/>
    <mergeCell ref="AU44:AX44"/>
    <mergeCell ref="K44:N44"/>
    <mergeCell ref="O44:R44"/>
    <mergeCell ref="S44:V44"/>
    <mergeCell ref="W44:Z44"/>
    <mergeCell ref="AA44:AD44"/>
    <mergeCell ref="AZ14:BI15"/>
    <mergeCell ref="D8:I9"/>
    <mergeCell ref="J8:S9"/>
    <mergeCell ref="T8:U9"/>
    <mergeCell ref="V8:AE9"/>
    <mergeCell ref="D10:I11"/>
    <mergeCell ref="J10:AE11"/>
    <mergeCell ref="AZ11:BI11"/>
    <mergeCell ref="J12:Y13"/>
    <mergeCell ref="Z12:AO13"/>
    <mergeCell ref="AP12:AY13"/>
    <mergeCell ref="AZ12:BI13"/>
    <mergeCell ref="J14:Y15"/>
    <mergeCell ref="Z14:AO15"/>
    <mergeCell ref="AP14:AY15"/>
    <mergeCell ref="J18:Y19"/>
    <mergeCell ref="Z18:AO19"/>
    <mergeCell ref="AP18:AY19"/>
    <mergeCell ref="AZ18:BI19"/>
    <mergeCell ref="J16:Y17"/>
    <mergeCell ref="Z16:AO17"/>
    <mergeCell ref="AP16:AY17"/>
    <mergeCell ref="AZ16:BI17"/>
    <mergeCell ref="J20:Y21"/>
    <mergeCell ref="Z20:AO21"/>
    <mergeCell ref="AP20:AY21"/>
    <mergeCell ref="AZ20:BI21"/>
    <mergeCell ref="J22:Y23"/>
    <mergeCell ref="Z22:AO23"/>
    <mergeCell ref="AP22:AY23"/>
    <mergeCell ref="AZ22:BI23"/>
    <mergeCell ref="Z28:AO29"/>
    <mergeCell ref="AP28:AY29"/>
    <mergeCell ref="AZ28:BI29"/>
    <mergeCell ref="AP30:BI31"/>
    <mergeCell ref="J24:Y25"/>
    <mergeCell ref="Z24:AO25"/>
    <mergeCell ref="AP24:AY25"/>
    <mergeCell ref="AZ24:BI25"/>
    <mergeCell ref="Z26:AO27"/>
    <mergeCell ref="AP26:AY27"/>
    <mergeCell ref="AZ26:BI27"/>
    <mergeCell ref="AP32:BI33"/>
    <mergeCell ref="AP34:BI35"/>
    <mergeCell ref="AP36:BI37"/>
    <mergeCell ref="D12:I21"/>
    <mergeCell ref="D22:I29"/>
    <mergeCell ref="D30:I37"/>
    <mergeCell ref="J30:Y31"/>
    <mergeCell ref="J32:Y33"/>
    <mergeCell ref="J34:Y35"/>
    <mergeCell ref="J36:Y37"/>
    <mergeCell ref="Z30:AO31"/>
    <mergeCell ref="Z32:AO33"/>
    <mergeCell ref="Z34:AO35"/>
    <mergeCell ref="Z36:AO37"/>
    <mergeCell ref="J26:Y27"/>
    <mergeCell ref="J28:Y29"/>
  </mergeCells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&amp;R&amp;"Arial,標準"&amp;9Page.&amp;P&amp;C&amp;"Arial,標準"&amp;6(C) 2019 Kyoritsu Electric Corporation All Rights Reserved.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8">
    <tabColor rgb="FFFF0000"/>
  </sheetPr>
  <dimension ref="A1:BK40"/>
  <sheetViews>
    <sheetView view="pageBreakPreview" zoomScale="85" zoomScaleNormal="100" zoomScaleSheetLayoutView="85" workbookViewId="0">
      <selection activeCell="T49" sqref="T49"/>
    </sheetView>
  </sheetViews>
  <sheetFormatPr defaultColWidth="2.21875" defaultRowHeight="13.5" customHeight="1" x14ac:dyDescent="0.2"/>
  <cols>
    <col min="1" max="1" width="0.6640625" style="19" customWidth="1"/>
    <col min="2" max="62" width="2.21875" style="19" customWidth="1"/>
    <col min="63" max="63" width="1.21875" style="19" customWidth="1"/>
    <col min="64" max="64" width="0.6640625" style="19" customWidth="1"/>
    <col min="65" max="16384" width="2.21875" style="19"/>
  </cols>
  <sheetData>
    <row r="1" spans="1:63" ht="13.5" customHeight="1" x14ac:dyDescent="0.2">
      <c r="A1" s="20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3" ht="13.5" customHeight="1" x14ac:dyDescent="0.2">
      <c r="A2" s="20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3" s="23" customFormat="1" ht="13.5" customHeight="1" x14ac:dyDescent="0.2">
      <c r="A3" s="22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3" s="23" customFormat="1" ht="13.5" customHeight="1" x14ac:dyDescent="0.2">
      <c r="A4" s="22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3" s="23" customFormat="1" ht="4.5" customHeight="1" x14ac:dyDescent="0.2">
      <c r="A5" s="22"/>
      <c r="B5" s="15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53"/>
    </row>
    <row r="6" spans="1:63" ht="13.5" customHeight="1" x14ac:dyDescent="0.2">
      <c r="A6" s="20"/>
      <c r="B6" s="40"/>
      <c r="C6" s="41"/>
      <c r="D6" s="41"/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ht="13.5" customHeight="1" x14ac:dyDescent="0.2">
      <c r="A7" s="20"/>
      <c r="B7" s="24"/>
      <c r="C7" s="161"/>
      <c r="D7" s="161"/>
      <c r="E7" s="91" t="s">
        <v>114</v>
      </c>
      <c r="F7" s="22"/>
      <c r="G7" s="22"/>
      <c r="H7" s="22"/>
      <c r="I7" s="22"/>
      <c r="J7" s="22"/>
      <c r="K7" s="161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5"/>
    </row>
    <row r="8" spans="1:63" ht="13.5" customHeight="1" x14ac:dyDescent="0.2">
      <c r="A8" s="20"/>
      <c r="B8" s="24"/>
      <c r="C8" s="161"/>
      <c r="D8" s="22"/>
      <c r="E8" s="91" t="s">
        <v>115</v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ht="13.5" customHeight="1" x14ac:dyDescent="0.2">
      <c r="B9" s="24"/>
      <c r="C9" s="22"/>
      <c r="D9" s="161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ht="13.5" customHeight="1" x14ac:dyDescent="0.2">
      <c r="B10" s="24"/>
      <c r="C10" s="22"/>
      <c r="D10" s="22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G10" s="22"/>
      <c r="BH10" s="22"/>
      <c r="BI10" s="22"/>
      <c r="BJ10" s="22"/>
      <c r="BK10" s="25"/>
    </row>
    <row r="11" spans="1:63" ht="13.5" customHeight="1" x14ac:dyDescent="0.2">
      <c r="B11" s="24"/>
      <c r="C11" s="161"/>
      <c r="D11" s="161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G11" s="22"/>
      <c r="BH11" s="22"/>
      <c r="BI11" s="22"/>
      <c r="BJ11" s="22"/>
      <c r="BK11" s="25"/>
    </row>
    <row r="12" spans="1:63" ht="13.5" customHeight="1" x14ac:dyDescent="0.2">
      <c r="B12" s="24"/>
      <c r="C12" s="22"/>
      <c r="D12" s="22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3"/>
      <c r="AZ12" s="153"/>
      <c r="BA12" s="153"/>
      <c r="BB12" s="153"/>
      <c r="BC12" s="153"/>
      <c r="BD12" s="153"/>
      <c r="BE12" s="22"/>
      <c r="BF12" s="22"/>
      <c r="BG12" s="22"/>
      <c r="BH12" s="22"/>
      <c r="BI12" s="22"/>
      <c r="BJ12" s="22"/>
      <c r="BK12" s="25"/>
    </row>
    <row r="13" spans="1:63" ht="13.5" customHeight="1" x14ac:dyDescent="0.2">
      <c r="B13" s="24"/>
      <c r="C13" s="22"/>
      <c r="D13" s="22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22"/>
      <c r="BF13" s="22"/>
      <c r="BG13" s="22"/>
      <c r="BH13" s="22"/>
      <c r="BI13" s="22"/>
      <c r="BJ13" s="22"/>
      <c r="BK13" s="25"/>
    </row>
    <row r="14" spans="1:63" ht="13.5" customHeight="1" x14ac:dyDescent="0.2">
      <c r="B14" s="24"/>
      <c r="C14" s="22"/>
      <c r="D14" s="22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  <c r="BE14" s="22"/>
      <c r="BF14" s="22"/>
      <c r="BG14" s="22"/>
      <c r="BH14" s="22"/>
      <c r="BI14" s="22"/>
      <c r="BJ14" s="22"/>
      <c r="BK14" s="25"/>
    </row>
    <row r="15" spans="1:63" ht="13.5" customHeight="1" x14ac:dyDescent="0.2">
      <c r="B15" s="24"/>
      <c r="C15" s="22"/>
      <c r="D15" s="161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  <c r="BE15" s="22"/>
      <c r="BF15" s="22"/>
      <c r="BG15" s="22"/>
      <c r="BH15" s="22"/>
      <c r="BI15" s="22"/>
      <c r="BJ15" s="22"/>
      <c r="BK15" s="25"/>
    </row>
    <row r="16" spans="1:63" ht="13.5" customHeight="1" x14ac:dyDescent="0.2">
      <c r="B16" s="24"/>
      <c r="C16" s="22"/>
      <c r="D16" s="22"/>
      <c r="E16" s="153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22"/>
      <c r="BF16" s="22"/>
      <c r="BG16" s="22"/>
      <c r="BH16" s="22"/>
      <c r="BI16" s="22"/>
      <c r="BJ16" s="22"/>
      <c r="BK16" s="25"/>
    </row>
    <row r="17" spans="2:63" ht="13.5" customHeight="1" x14ac:dyDescent="0.2">
      <c r="B17" s="24"/>
      <c r="C17" s="22"/>
      <c r="D17" s="22"/>
      <c r="E17" s="153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22"/>
      <c r="BF17" s="22"/>
      <c r="BG17" s="22"/>
      <c r="BH17" s="22"/>
      <c r="BI17" s="22"/>
      <c r="BJ17" s="22"/>
      <c r="BK17" s="25"/>
    </row>
    <row r="18" spans="2:63" ht="13.5" customHeight="1" x14ac:dyDescent="0.2">
      <c r="B18" s="24"/>
      <c r="C18" s="22"/>
      <c r="D18" s="22"/>
      <c r="E18" s="153"/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  <c r="AW18" s="153"/>
      <c r="AX18" s="153"/>
      <c r="AY18" s="153"/>
      <c r="AZ18" s="153"/>
      <c r="BA18" s="153"/>
      <c r="BB18" s="153"/>
      <c r="BC18" s="153"/>
      <c r="BD18" s="153"/>
      <c r="BE18" s="22"/>
      <c r="BF18" s="22"/>
      <c r="BG18" s="22"/>
      <c r="BH18" s="22"/>
      <c r="BI18" s="22"/>
      <c r="BJ18" s="22"/>
      <c r="BK18" s="25"/>
    </row>
    <row r="19" spans="2:63" ht="13.5" customHeight="1" x14ac:dyDescent="0.2">
      <c r="B19" s="24"/>
      <c r="C19" s="22"/>
      <c r="D19" s="22"/>
      <c r="E19" s="153"/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22"/>
      <c r="BF19" s="22"/>
      <c r="BG19" s="22"/>
      <c r="BH19" s="22"/>
      <c r="BI19" s="22"/>
      <c r="BJ19" s="22"/>
      <c r="BK19" s="25"/>
    </row>
    <row r="20" spans="2:63" ht="13.5" customHeight="1" x14ac:dyDescent="0.2">
      <c r="B20" s="24"/>
      <c r="C20" s="22"/>
      <c r="D20" s="22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22"/>
      <c r="BF20" s="22"/>
      <c r="BG20" s="22"/>
      <c r="BH20" s="22"/>
      <c r="BI20" s="22"/>
      <c r="BJ20" s="22"/>
      <c r="BK20" s="25"/>
    </row>
    <row r="21" spans="2:63" ht="13.5" customHeight="1" x14ac:dyDescent="0.2">
      <c r="B21" s="24"/>
      <c r="C21" s="22"/>
      <c r="D21" s="161"/>
      <c r="E21" s="153"/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  <c r="AV21" s="153"/>
      <c r="AW21" s="153"/>
      <c r="AX21" s="153"/>
      <c r="AY21" s="153"/>
      <c r="AZ21" s="153"/>
      <c r="BA21" s="153"/>
      <c r="BB21" s="153"/>
      <c r="BC21" s="153"/>
      <c r="BD21" s="153"/>
      <c r="BE21" s="22"/>
      <c r="BF21" s="22"/>
      <c r="BG21" s="22"/>
      <c r="BH21" s="22"/>
      <c r="BI21" s="22"/>
      <c r="BJ21" s="22"/>
      <c r="BK21" s="25"/>
    </row>
    <row r="22" spans="2:63" ht="13.5" customHeight="1" x14ac:dyDescent="0.2">
      <c r="B22" s="24"/>
      <c r="C22" s="22"/>
      <c r="D22" s="22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  <c r="AV22" s="153"/>
      <c r="AW22" s="153"/>
      <c r="AX22" s="153"/>
      <c r="AY22" s="153"/>
      <c r="AZ22" s="153"/>
      <c r="BA22" s="153"/>
      <c r="BB22" s="153"/>
      <c r="BC22" s="153"/>
      <c r="BD22" s="153"/>
      <c r="BE22" s="22"/>
      <c r="BF22" s="22"/>
      <c r="BG22" s="22"/>
      <c r="BH22" s="22"/>
      <c r="BI22" s="22"/>
      <c r="BJ22" s="22"/>
      <c r="BK22" s="25"/>
    </row>
    <row r="23" spans="2:63" ht="13.5" customHeight="1" x14ac:dyDescent="0.2">
      <c r="B23" s="24"/>
      <c r="C23" s="22"/>
      <c r="D23" s="22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  <c r="AV23" s="153"/>
      <c r="AW23" s="153"/>
      <c r="AX23" s="153"/>
      <c r="AY23" s="153"/>
      <c r="AZ23" s="153"/>
      <c r="BA23" s="153"/>
      <c r="BB23" s="153"/>
      <c r="BC23" s="153"/>
      <c r="BD23" s="153"/>
      <c r="BE23" s="22"/>
      <c r="BF23" s="22"/>
      <c r="BG23" s="22"/>
      <c r="BH23" s="22"/>
      <c r="BI23" s="22"/>
      <c r="BJ23" s="22"/>
      <c r="BK23" s="25"/>
    </row>
    <row r="24" spans="2:63" ht="13.5" customHeight="1" x14ac:dyDescent="0.2">
      <c r="B24" s="24"/>
      <c r="C24" s="22"/>
      <c r="D24" s="22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  <c r="AV24" s="153"/>
      <c r="AW24" s="153"/>
      <c r="AX24" s="153"/>
      <c r="AY24" s="153"/>
      <c r="AZ24" s="153"/>
      <c r="BA24" s="153"/>
      <c r="BB24" s="153"/>
      <c r="BC24" s="153"/>
      <c r="BD24" s="153"/>
      <c r="BE24" s="22"/>
      <c r="BF24" s="22"/>
      <c r="BG24" s="22"/>
      <c r="BH24" s="22"/>
      <c r="BI24" s="22"/>
      <c r="BJ24" s="22"/>
      <c r="BK24" s="25"/>
    </row>
    <row r="25" spans="2:63" ht="13.5" customHeight="1" x14ac:dyDescent="0.2">
      <c r="B25" s="24"/>
      <c r="C25" s="22"/>
      <c r="D25" s="22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  <c r="AV25" s="153"/>
      <c r="AW25" s="153"/>
      <c r="AX25" s="153"/>
      <c r="AY25" s="153"/>
      <c r="AZ25" s="153"/>
      <c r="BA25" s="153"/>
      <c r="BB25" s="153"/>
      <c r="BC25" s="153"/>
      <c r="BD25" s="153"/>
      <c r="BE25" s="22"/>
      <c r="BF25" s="22"/>
      <c r="BG25" s="22"/>
      <c r="BH25" s="22"/>
      <c r="BI25" s="22"/>
      <c r="BJ25" s="22"/>
      <c r="BK25" s="25"/>
    </row>
    <row r="26" spans="2:63" ht="13.5" customHeight="1" x14ac:dyDescent="0.2">
      <c r="B26" s="24"/>
      <c r="C26" s="22"/>
      <c r="D26" s="161"/>
      <c r="E26" s="153"/>
      <c r="F26" s="153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5"/>
    </row>
    <row r="27" spans="2:63" ht="13.5" customHeight="1" x14ac:dyDescent="0.2">
      <c r="B27" s="2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5"/>
    </row>
    <row r="28" spans="2:63" ht="13.5" customHeight="1" x14ac:dyDescent="0.2">
      <c r="B28" s="24"/>
      <c r="C28" s="22"/>
      <c r="D28" s="22"/>
      <c r="E28" s="22"/>
      <c r="F28" s="22"/>
      <c r="G28" s="161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2"/>
      <c r="BK28" s="25"/>
    </row>
    <row r="29" spans="2:63" ht="13.5" customHeight="1" x14ac:dyDescent="0.2">
      <c r="B29" s="24"/>
      <c r="C29" s="22"/>
      <c r="D29" s="22"/>
      <c r="E29" s="22"/>
      <c r="F29" s="22"/>
      <c r="G29" s="161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2"/>
      <c r="BK29" s="25"/>
    </row>
    <row r="30" spans="2:63" ht="13.5" customHeight="1" x14ac:dyDescent="0.2">
      <c r="B30" s="24"/>
      <c r="C30" s="22"/>
      <c r="D30" s="22"/>
      <c r="E30" s="22"/>
      <c r="F30" s="22"/>
      <c r="G30" s="161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2"/>
      <c r="BK30" s="25"/>
    </row>
    <row r="31" spans="2:63" ht="13.5" customHeight="1" x14ac:dyDescent="0.2">
      <c r="B31" s="24"/>
      <c r="C31" s="22"/>
      <c r="D31" s="22"/>
      <c r="E31" s="161"/>
      <c r="F31" s="22"/>
      <c r="G31" s="22"/>
      <c r="H31" s="22"/>
      <c r="I31" s="161"/>
      <c r="J31" s="22"/>
      <c r="K31" s="22"/>
      <c r="L31" s="22"/>
      <c r="M31" s="22"/>
      <c r="N31" s="22"/>
      <c r="O31" s="161"/>
      <c r="P31" s="22"/>
      <c r="Q31" s="22"/>
      <c r="R31" s="161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2"/>
      <c r="BK31" s="25"/>
    </row>
    <row r="32" spans="2:63" ht="13.5" customHeight="1" x14ac:dyDescent="0.2">
      <c r="B32" s="24"/>
      <c r="C32" s="22"/>
      <c r="D32" s="22"/>
      <c r="E32" s="91" t="s">
        <v>116</v>
      </c>
      <c r="F32" s="22"/>
      <c r="G32" s="22"/>
      <c r="H32" s="22"/>
      <c r="I32" s="161"/>
      <c r="J32" s="22"/>
      <c r="K32" s="22"/>
      <c r="L32" s="22"/>
      <c r="M32" s="22"/>
      <c r="N32" s="22"/>
      <c r="O32" s="161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5"/>
    </row>
    <row r="33" spans="2:63" ht="13.5" customHeight="1" x14ac:dyDescent="0.2"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5"/>
    </row>
    <row r="34" spans="2:63" ht="13.5" customHeight="1" x14ac:dyDescent="0.2">
      <c r="B34" s="24"/>
      <c r="C34" s="22"/>
      <c r="D34" s="22"/>
      <c r="E34" s="22"/>
      <c r="F34" s="197" t="s">
        <v>117</v>
      </c>
      <c r="G34" s="22"/>
      <c r="H34" s="22"/>
      <c r="I34" s="161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5"/>
    </row>
    <row r="35" spans="2:63" ht="13.5" customHeight="1" x14ac:dyDescent="0.2">
      <c r="B35" s="24"/>
      <c r="C35" s="22"/>
      <c r="D35" s="22"/>
      <c r="E35" s="22"/>
      <c r="F35" s="197" t="s">
        <v>118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5"/>
    </row>
    <row r="36" spans="2:63" ht="13.5" customHeight="1" x14ac:dyDescent="0.2">
      <c r="B36" s="24"/>
      <c r="C36" s="22"/>
      <c r="D36" s="161"/>
      <c r="E36" s="153"/>
      <c r="F36" s="197" t="s">
        <v>119</v>
      </c>
      <c r="G36" s="161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5"/>
    </row>
    <row r="37" spans="2:63" ht="13.5" customHeight="1" x14ac:dyDescent="0.2">
      <c r="B37" s="24"/>
      <c r="C37" s="22"/>
      <c r="D37" s="22"/>
      <c r="E37" s="22"/>
      <c r="F37" s="197" t="s">
        <v>120</v>
      </c>
      <c r="G37" s="161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2:63" ht="13.5" customHeight="1" x14ac:dyDescent="0.2">
      <c r="B38" s="24"/>
      <c r="C38" s="22"/>
      <c r="D38" s="22"/>
      <c r="E38" s="22"/>
      <c r="F38" s="197" t="s">
        <v>121</v>
      </c>
      <c r="G38" s="161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2:63" ht="13.5" customHeight="1" x14ac:dyDescent="0.2">
      <c r="B39" s="24"/>
      <c r="C39" s="22"/>
      <c r="D39" s="22"/>
      <c r="E39" s="22"/>
      <c r="F39" s="22"/>
      <c r="G39" s="161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2:63" ht="13.5" customHeight="1" x14ac:dyDescent="0.2"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</sheetData>
  <dataConsolidate/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&amp;R&amp;"Arial,標準"&amp;9Page.&amp;P&amp;C&amp;"Arial,標準"&amp;6(C) 2019 Kyoritsu Electric Corporation All Rights Reserved.</oddFooter>
  </headerFooter>
  <ignoredErrors>
    <ignoredError sqref="F34:F38" numberStoredAsText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tabColor rgb="FFFF0000"/>
  </sheetPr>
  <dimension ref="A1:BW50"/>
  <sheetViews>
    <sheetView view="pageBreakPreview" zoomScale="85" zoomScaleNormal="100" zoomScaleSheetLayoutView="85" workbookViewId="0">
      <selection activeCell="T49" sqref="T49"/>
    </sheetView>
  </sheetViews>
  <sheetFormatPr defaultColWidth="2.21875" defaultRowHeight="13.5" customHeight="1" x14ac:dyDescent="0.2"/>
  <cols>
    <col min="1" max="1" width="0.6640625" style="19" customWidth="1"/>
    <col min="2" max="62" width="2.21875" style="19" customWidth="1"/>
    <col min="63" max="63" width="1.21875" style="19" customWidth="1"/>
    <col min="64" max="64" width="0.6640625" style="19" customWidth="1"/>
    <col min="65" max="16384" width="2.21875" style="19"/>
  </cols>
  <sheetData>
    <row r="1" spans="1:63" ht="13.5" customHeight="1" x14ac:dyDescent="0.2">
      <c r="A1" s="20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3" ht="13.5" customHeight="1" x14ac:dyDescent="0.2">
      <c r="A2" s="20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3" s="23" customFormat="1" ht="13.5" customHeight="1" x14ac:dyDescent="0.2">
      <c r="A3" s="22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3" s="23" customFormat="1" ht="13.5" customHeight="1" x14ac:dyDescent="0.2">
      <c r="A4" s="22"/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3" s="23" customFormat="1" ht="4.5" customHeight="1" x14ac:dyDescent="0.2">
      <c r="A5" s="22"/>
      <c r="B5" s="153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153"/>
    </row>
    <row r="6" spans="1:63" ht="13.5" customHeight="1" x14ac:dyDescent="0.2">
      <c r="A6" s="20"/>
      <c r="B6" s="40"/>
      <c r="C6" s="41"/>
      <c r="D6" s="41"/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ht="13.5" customHeight="1" x14ac:dyDescent="0.2">
      <c r="A7" s="20"/>
      <c r="B7" s="24"/>
      <c r="C7" s="161"/>
      <c r="D7" s="78" t="s">
        <v>196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5"/>
    </row>
    <row r="8" spans="1:63" ht="13.5" customHeight="1" x14ac:dyDescent="0.2">
      <c r="A8" s="20"/>
      <c r="B8" s="24"/>
      <c r="C8" s="161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ht="13.5" customHeight="1" x14ac:dyDescent="0.2">
      <c r="B9" s="24"/>
      <c r="C9" s="22"/>
      <c r="D9" s="161" t="s">
        <v>59</v>
      </c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ht="13.5" customHeight="1" x14ac:dyDescent="0.2">
      <c r="B10" s="24"/>
      <c r="C10" s="22"/>
      <c r="D10" s="22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G10" s="22"/>
      <c r="BH10" s="22"/>
      <c r="BI10" s="22"/>
      <c r="BJ10" s="22"/>
      <c r="BK10" s="25"/>
    </row>
    <row r="11" spans="1:63" ht="13.5" customHeight="1" x14ac:dyDescent="0.2">
      <c r="B11" s="24"/>
      <c r="C11" s="161"/>
      <c r="D11" s="161" t="s">
        <v>61</v>
      </c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G11" s="22"/>
      <c r="BH11" s="22"/>
      <c r="BI11" s="22"/>
      <c r="BJ11" s="22"/>
      <c r="BK11" s="25"/>
    </row>
    <row r="12" spans="1:63" ht="13.5" customHeight="1" x14ac:dyDescent="0.2">
      <c r="B12" s="24"/>
      <c r="C12" s="22"/>
      <c r="D12" s="22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3"/>
      <c r="AZ12" s="153"/>
      <c r="BA12" s="153"/>
      <c r="BB12" s="153"/>
      <c r="BC12" s="153"/>
      <c r="BD12" s="153"/>
      <c r="BE12" s="22"/>
      <c r="BF12" s="22"/>
      <c r="BG12" s="22"/>
      <c r="BH12" s="22"/>
      <c r="BI12" s="22"/>
      <c r="BJ12" s="22"/>
      <c r="BK12" s="25"/>
    </row>
    <row r="13" spans="1:63" ht="13.5" customHeight="1" x14ac:dyDescent="0.2">
      <c r="B13" s="24"/>
      <c r="C13" s="22"/>
      <c r="D13" s="161" t="s">
        <v>62</v>
      </c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22"/>
      <c r="BF13" s="22"/>
      <c r="BG13" s="22"/>
      <c r="BH13" s="22"/>
      <c r="BI13" s="22"/>
      <c r="BJ13" s="22"/>
      <c r="BK13" s="25"/>
    </row>
    <row r="14" spans="1:63" ht="13.5" customHeight="1" x14ac:dyDescent="0.2">
      <c r="B14" s="24"/>
      <c r="C14" s="22"/>
      <c r="E14" s="153"/>
      <c r="F14" s="153"/>
      <c r="G14" s="153"/>
      <c r="H14" s="153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  <c r="BE14" s="22"/>
      <c r="BF14" s="22"/>
      <c r="BG14" s="22"/>
      <c r="BH14" s="22"/>
      <c r="BI14" s="22"/>
      <c r="BJ14" s="22"/>
      <c r="BK14" s="25"/>
    </row>
    <row r="15" spans="1:63" ht="13.5" customHeight="1" x14ac:dyDescent="0.2">
      <c r="B15" s="24"/>
      <c r="C15" s="22"/>
      <c r="D15" s="78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  <c r="BE15" s="22"/>
      <c r="BF15" s="22"/>
      <c r="BG15" s="22"/>
      <c r="BH15" s="22"/>
      <c r="BI15" s="22"/>
      <c r="BJ15" s="22"/>
      <c r="BK15" s="25"/>
    </row>
    <row r="16" spans="1:63" ht="13.5" customHeight="1" x14ac:dyDescent="0.2">
      <c r="B16" s="24"/>
      <c r="C16" s="22"/>
      <c r="D16" s="78" t="s">
        <v>75</v>
      </c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22"/>
      <c r="BF16" s="22"/>
      <c r="BG16" s="22"/>
      <c r="BH16" s="22"/>
      <c r="BI16" s="22"/>
      <c r="BJ16" s="22"/>
      <c r="BK16" s="25"/>
    </row>
    <row r="17" spans="2:75" ht="13.5" customHeight="1" x14ac:dyDescent="0.2">
      <c r="B17" s="24"/>
      <c r="C17" s="22"/>
      <c r="F17" s="153"/>
      <c r="G17" s="153"/>
      <c r="H17" s="153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22"/>
      <c r="BF17" s="22"/>
      <c r="BG17" s="22"/>
      <c r="BH17" s="22"/>
      <c r="BI17" s="22"/>
      <c r="BJ17" s="22"/>
      <c r="BK17" s="25"/>
    </row>
    <row r="18" spans="2:75" ht="13.5" customHeight="1" x14ac:dyDescent="0.2">
      <c r="B18" s="24"/>
      <c r="C18" s="22"/>
      <c r="D18" s="196" t="s">
        <v>210</v>
      </c>
      <c r="E18" s="161" t="s">
        <v>80</v>
      </c>
      <c r="F18" s="153"/>
      <c r="G18" s="153"/>
      <c r="H18" s="153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  <c r="AW18" s="153"/>
      <c r="AX18" s="153"/>
      <c r="AY18" s="153"/>
      <c r="AZ18" s="153"/>
      <c r="BA18" s="153"/>
      <c r="BB18" s="153"/>
      <c r="BC18" s="153"/>
      <c r="BD18" s="153"/>
      <c r="BE18" s="22"/>
      <c r="BF18" s="22"/>
      <c r="BG18" s="22"/>
      <c r="BH18" s="22"/>
      <c r="BI18" s="22"/>
      <c r="BJ18" s="22"/>
      <c r="BK18" s="25"/>
    </row>
    <row r="19" spans="2:75" ht="13.5" customHeight="1" x14ac:dyDescent="0.2">
      <c r="B19" s="24"/>
      <c r="C19" s="22"/>
      <c r="E19" s="161" t="s">
        <v>107</v>
      </c>
      <c r="F19" s="153"/>
      <c r="G19" s="153"/>
      <c r="H19" s="153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22"/>
      <c r="BF19" s="22"/>
      <c r="BG19" s="22"/>
      <c r="BH19" s="22"/>
      <c r="BI19" s="22"/>
      <c r="BJ19" s="22"/>
      <c r="BK19" s="25"/>
    </row>
    <row r="20" spans="2:75" ht="13.5" customHeight="1" x14ac:dyDescent="0.2">
      <c r="B20" s="24"/>
      <c r="C20" s="22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22"/>
      <c r="BF20" s="22"/>
      <c r="BG20" s="22"/>
      <c r="BH20" s="22"/>
      <c r="BI20" s="22"/>
      <c r="BJ20" s="22"/>
      <c r="BK20" s="25"/>
    </row>
    <row r="21" spans="2:75" ht="13.5" customHeight="1" x14ac:dyDescent="0.2">
      <c r="B21" s="24"/>
      <c r="C21" s="22"/>
      <c r="D21" s="161" t="s">
        <v>83</v>
      </c>
      <c r="E21" s="161" t="s">
        <v>78</v>
      </c>
      <c r="F21" s="153"/>
      <c r="G21" s="153"/>
      <c r="H21" s="153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  <c r="AV21" s="153"/>
      <c r="AW21" s="153"/>
      <c r="AX21" s="153"/>
      <c r="AY21" s="153"/>
      <c r="AZ21" s="153"/>
      <c r="BA21" s="153"/>
      <c r="BB21" s="153"/>
      <c r="BC21" s="153"/>
      <c r="BD21" s="153"/>
      <c r="BE21" s="22"/>
      <c r="BF21" s="22"/>
      <c r="BG21" s="22"/>
      <c r="BH21" s="22"/>
      <c r="BI21" s="22"/>
      <c r="BJ21" s="22"/>
      <c r="BK21" s="25"/>
      <c r="BW21" s="161"/>
    </row>
    <row r="22" spans="2:75" ht="13.5" customHeight="1" x14ac:dyDescent="0.2">
      <c r="B22" s="24"/>
      <c r="C22" s="22"/>
      <c r="D22" s="161"/>
      <c r="E22" s="161" t="s">
        <v>79</v>
      </c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  <c r="AV22" s="153"/>
      <c r="AW22" s="153"/>
      <c r="AX22" s="153"/>
      <c r="AY22" s="153"/>
      <c r="AZ22" s="153"/>
      <c r="BA22" s="153"/>
      <c r="BB22" s="153"/>
      <c r="BC22" s="153"/>
      <c r="BD22" s="153"/>
      <c r="BE22" s="22"/>
      <c r="BF22" s="22"/>
      <c r="BG22" s="22"/>
      <c r="BH22" s="22"/>
      <c r="BI22" s="22"/>
      <c r="BJ22" s="22"/>
      <c r="BK22" s="25"/>
      <c r="BW22" s="22"/>
    </row>
    <row r="23" spans="2:75" ht="13.5" customHeight="1" x14ac:dyDescent="0.2">
      <c r="B23" s="24"/>
      <c r="C23" s="22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  <c r="AV23" s="153"/>
      <c r="AW23" s="153"/>
      <c r="AX23" s="153"/>
      <c r="AY23" s="153"/>
      <c r="AZ23" s="153"/>
      <c r="BA23" s="153"/>
      <c r="BB23" s="153"/>
      <c r="BC23" s="153"/>
      <c r="BD23" s="153"/>
      <c r="BE23" s="22"/>
      <c r="BF23" s="22"/>
      <c r="BG23" s="22"/>
      <c r="BH23" s="22"/>
      <c r="BI23" s="22"/>
      <c r="BJ23" s="22"/>
      <c r="BK23" s="25"/>
    </row>
    <row r="24" spans="2:75" ht="13.5" customHeight="1" x14ac:dyDescent="0.2">
      <c r="B24" s="24"/>
      <c r="C24" s="22"/>
      <c r="D24" s="196" t="s">
        <v>211</v>
      </c>
      <c r="E24" s="153" t="s">
        <v>82</v>
      </c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  <c r="AV24" s="153"/>
      <c r="AW24" s="153"/>
      <c r="AX24" s="153"/>
      <c r="AY24" s="153"/>
      <c r="AZ24" s="153"/>
      <c r="BA24" s="153"/>
      <c r="BB24" s="153"/>
      <c r="BC24" s="153"/>
      <c r="BD24" s="153"/>
      <c r="BE24" s="153"/>
      <c r="BF24" s="153"/>
      <c r="BG24" s="22"/>
      <c r="BH24" s="22"/>
      <c r="BI24" s="22"/>
      <c r="BJ24" s="22"/>
      <c r="BK24" s="25"/>
    </row>
    <row r="25" spans="2:75" ht="13.5" customHeight="1" x14ac:dyDescent="0.2">
      <c r="B25" s="24"/>
      <c r="C25" s="22"/>
      <c r="D25" s="98"/>
      <c r="E25" s="97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  <c r="AV25" s="153"/>
      <c r="AW25" s="153"/>
      <c r="AX25" s="153"/>
      <c r="AY25" s="153"/>
      <c r="AZ25" s="153"/>
      <c r="BA25" s="153"/>
      <c r="BB25" s="153"/>
      <c r="BC25" s="153"/>
      <c r="BD25" s="153"/>
      <c r="BE25" s="153"/>
      <c r="BF25" s="153"/>
      <c r="BG25" s="22"/>
      <c r="BH25" s="22"/>
      <c r="BI25" s="22"/>
      <c r="BJ25" s="22"/>
      <c r="BK25" s="25"/>
    </row>
    <row r="26" spans="2:75" ht="13.5" customHeight="1" x14ac:dyDescent="0.2">
      <c r="B26" s="24"/>
      <c r="C26" s="22"/>
      <c r="D26" s="161"/>
      <c r="E26" s="99"/>
      <c r="F26" s="153"/>
      <c r="G26" s="153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153"/>
      <c r="AU26" s="153"/>
      <c r="AV26" s="153"/>
      <c r="AW26" s="153"/>
      <c r="AX26" s="153"/>
      <c r="AY26" s="153"/>
      <c r="AZ26" s="153"/>
      <c r="BA26" s="153"/>
      <c r="BB26" s="153"/>
      <c r="BC26" s="153"/>
      <c r="BD26" s="153"/>
      <c r="BE26" s="153"/>
      <c r="BF26" s="153"/>
      <c r="BG26" s="22"/>
      <c r="BH26" s="22"/>
      <c r="BI26" s="22"/>
      <c r="BJ26" s="22"/>
      <c r="BK26" s="25"/>
    </row>
    <row r="27" spans="2:75" ht="13.5" customHeight="1" x14ac:dyDescent="0.2">
      <c r="B27" s="24"/>
      <c r="C27" s="22"/>
      <c r="D27" s="78" t="s">
        <v>197</v>
      </c>
      <c r="G27" s="153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153"/>
      <c r="AU27" s="153"/>
      <c r="AV27" s="153"/>
      <c r="AW27" s="153"/>
      <c r="AX27" s="153"/>
      <c r="AY27" s="153"/>
      <c r="AZ27" s="153"/>
      <c r="BA27" s="153"/>
      <c r="BB27" s="153"/>
      <c r="BC27" s="153"/>
      <c r="BD27" s="153"/>
      <c r="BE27" s="153"/>
      <c r="BF27" s="153"/>
      <c r="BG27" s="22"/>
      <c r="BH27" s="22"/>
      <c r="BI27" s="22"/>
      <c r="BJ27" s="22"/>
      <c r="BK27" s="25"/>
    </row>
    <row r="28" spans="2:75" ht="13.5" customHeight="1" x14ac:dyDescent="0.2">
      <c r="B28" s="24"/>
      <c r="C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153"/>
      <c r="AU28" s="153"/>
      <c r="AV28" s="153"/>
      <c r="AW28" s="153"/>
      <c r="AX28" s="153"/>
      <c r="AY28" s="153"/>
      <c r="AZ28" s="153"/>
      <c r="BA28" s="153"/>
      <c r="BB28" s="153"/>
      <c r="BC28" s="153"/>
      <c r="BD28" s="153"/>
      <c r="BE28" s="153"/>
      <c r="BF28" s="153"/>
      <c r="BG28" s="21"/>
      <c r="BH28" s="21"/>
      <c r="BI28" s="21"/>
      <c r="BJ28" s="22"/>
      <c r="BK28" s="25"/>
    </row>
    <row r="29" spans="2:75" ht="13.5" customHeight="1" x14ac:dyDescent="0.2">
      <c r="B29" s="24"/>
      <c r="C29" s="22"/>
      <c r="D29" s="196" t="s">
        <v>199</v>
      </c>
      <c r="AB29" s="22"/>
      <c r="AC29" s="22"/>
      <c r="AD29" s="22"/>
      <c r="BB29" s="153"/>
      <c r="BC29" s="153"/>
      <c r="BD29" s="153"/>
      <c r="BE29" s="153"/>
      <c r="BF29" s="153"/>
      <c r="BG29" s="21"/>
      <c r="BH29" s="21"/>
      <c r="BI29" s="21"/>
      <c r="BJ29" s="22"/>
      <c r="BK29" s="25"/>
    </row>
    <row r="30" spans="2:75" ht="13.5" customHeight="1" x14ac:dyDescent="0.2">
      <c r="B30" s="24"/>
      <c r="C30" s="22"/>
      <c r="D30" s="249" t="s">
        <v>198</v>
      </c>
      <c r="E30" s="249"/>
      <c r="F30" s="249"/>
      <c r="G30" s="249"/>
      <c r="H30" s="249"/>
      <c r="I30" s="249"/>
      <c r="J30" s="249" t="s">
        <v>184</v>
      </c>
      <c r="K30" s="249"/>
      <c r="L30" s="249"/>
      <c r="M30" s="249" t="s">
        <v>195</v>
      </c>
      <c r="N30" s="250"/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250"/>
      <c r="AB30" s="22"/>
      <c r="AC30" s="22"/>
      <c r="BF30" s="153"/>
      <c r="BG30" s="21"/>
      <c r="BH30" s="21"/>
      <c r="BI30" s="21"/>
      <c r="BJ30" s="22"/>
      <c r="BK30" s="25"/>
    </row>
    <row r="31" spans="2:75" ht="13.5" customHeight="1" x14ac:dyDescent="0.2">
      <c r="B31" s="24"/>
      <c r="C31" s="22"/>
      <c r="D31" s="252" t="s">
        <v>151</v>
      </c>
      <c r="E31" s="252"/>
      <c r="F31" s="252"/>
      <c r="G31" s="252"/>
      <c r="H31" s="252"/>
      <c r="I31" s="252"/>
      <c r="J31" s="252" t="s">
        <v>151</v>
      </c>
      <c r="K31" s="252"/>
      <c r="L31" s="252"/>
      <c r="M31" s="248" t="s">
        <v>189</v>
      </c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  <c r="AB31" s="22"/>
      <c r="AC31" s="22"/>
      <c r="BF31" s="153"/>
      <c r="BG31" s="21"/>
      <c r="BH31" s="21"/>
      <c r="BI31" s="21"/>
      <c r="BJ31" s="22"/>
      <c r="BK31" s="25"/>
    </row>
    <row r="32" spans="2:75" ht="13.5" customHeight="1" x14ac:dyDescent="0.2">
      <c r="B32" s="24"/>
      <c r="C32" s="22"/>
      <c r="D32" s="252" t="s">
        <v>152</v>
      </c>
      <c r="E32" s="252"/>
      <c r="F32" s="252"/>
      <c r="G32" s="252"/>
      <c r="H32" s="252"/>
      <c r="I32" s="252"/>
      <c r="J32" s="252" t="s">
        <v>152</v>
      </c>
      <c r="K32" s="252"/>
      <c r="L32" s="252"/>
      <c r="M32" s="248" t="s">
        <v>190</v>
      </c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B32" s="22"/>
      <c r="AC32" s="22"/>
      <c r="BF32" s="153"/>
      <c r="BG32" s="22"/>
      <c r="BH32" s="22"/>
      <c r="BI32" s="22"/>
      <c r="BJ32" s="22"/>
      <c r="BK32" s="25"/>
    </row>
    <row r="33" spans="2:63" ht="13.5" customHeight="1" x14ac:dyDescent="0.2">
      <c r="B33" s="24"/>
      <c r="C33" s="22"/>
      <c r="D33" s="252" t="s">
        <v>180</v>
      </c>
      <c r="E33" s="252"/>
      <c r="F33" s="252"/>
      <c r="G33" s="252"/>
      <c r="H33" s="252"/>
      <c r="I33" s="252"/>
      <c r="J33" s="252" t="s">
        <v>185</v>
      </c>
      <c r="K33" s="252"/>
      <c r="L33" s="252"/>
      <c r="M33" s="248" t="s">
        <v>191</v>
      </c>
      <c r="N33" s="248"/>
      <c r="O33" s="248"/>
      <c r="P33" s="248"/>
      <c r="Q33" s="248"/>
      <c r="R33" s="248"/>
      <c r="S33" s="248"/>
      <c r="T33" s="248"/>
      <c r="U33" s="248"/>
      <c r="V33" s="248"/>
      <c r="W33" s="248"/>
      <c r="X33" s="248"/>
      <c r="Y33" s="248"/>
      <c r="Z33" s="248"/>
      <c r="AB33" s="22"/>
      <c r="AC33" s="22"/>
      <c r="BF33" s="153"/>
      <c r="BG33" s="22"/>
      <c r="BH33" s="22"/>
      <c r="BI33" s="22"/>
      <c r="BJ33" s="22"/>
      <c r="BK33" s="25"/>
    </row>
    <row r="34" spans="2:63" ht="13.5" customHeight="1" x14ac:dyDescent="0.2">
      <c r="B34" s="24"/>
      <c r="C34" s="22"/>
      <c r="D34" s="252" t="s">
        <v>181</v>
      </c>
      <c r="E34" s="252"/>
      <c r="F34" s="252"/>
      <c r="G34" s="252"/>
      <c r="H34" s="252"/>
      <c r="I34" s="252"/>
      <c r="J34" s="252" t="s">
        <v>186</v>
      </c>
      <c r="K34" s="252"/>
      <c r="L34" s="252"/>
      <c r="M34" s="248" t="s">
        <v>192</v>
      </c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  <c r="AB34" s="22"/>
      <c r="AC34" s="22"/>
      <c r="BF34" s="153"/>
      <c r="BG34" s="22"/>
      <c r="BH34" s="22"/>
      <c r="BI34" s="22"/>
      <c r="BJ34" s="22"/>
      <c r="BK34" s="25"/>
    </row>
    <row r="35" spans="2:63" ht="13.5" customHeight="1" x14ac:dyDescent="0.2">
      <c r="B35" s="24"/>
      <c r="C35" s="22"/>
      <c r="D35" s="253" t="s">
        <v>182</v>
      </c>
      <c r="E35" s="253"/>
      <c r="F35" s="253"/>
      <c r="G35" s="253"/>
      <c r="H35" s="253"/>
      <c r="I35" s="253"/>
      <c r="J35" s="252" t="s">
        <v>187</v>
      </c>
      <c r="K35" s="252"/>
      <c r="L35" s="252"/>
      <c r="M35" s="248" t="s">
        <v>193</v>
      </c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  <c r="AB35" s="22"/>
      <c r="AC35" s="22"/>
      <c r="BF35" s="153"/>
      <c r="BG35" s="22"/>
      <c r="BH35" s="22"/>
      <c r="BI35" s="22"/>
      <c r="BJ35" s="22"/>
      <c r="BK35" s="25"/>
    </row>
    <row r="36" spans="2:63" ht="13.5" customHeight="1" x14ac:dyDescent="0.2">
      <c r="B36" s="24"/>
      <c r="C36" s="22"/>
      <c r="D36" s="251" t="s">
        <v>183</v>
      </c>
      <c r="E36" s="251"/>
      <c r="F36" s="251"/>
      <c r="G36" s="251"/>
      <c r="H36" s="251"/>
      <c r="I36" s="251"/>
      <c r="J36" s="252" t="s">
        <v>188</v>
      </c>
      <c r="K36" s="252"/>
      <c r="L36" s="252"/>
      <c r="M36" s="248" t="s">
        <v>194</v>
      </c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  <c r="AA36" s="22"/>
      <c r="AB36" s="22"/>
      <c r="AC36" s="22"/>
      <c r="BF36" s="153"/>
      <c r="BG36" s="22"/>
      <c r="BH36" s="22"/>
      <c r="BI36" s="22"/>
      <c r="BJ36" s="22"/>
      <c r="BK36" s="25"/>
    </row>
    <row r="37" spans="2:63" ht="13.5" customHeight="1" x14ac:dyDescent="0.2">
      <c r="B37" s="24"/>
      <c r="C37" s="22"/>
      <c r="AA37" s="22"/>
      <c r="AB37" s="22"/>
      <c r="AC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2:63" ht="13.5" customHeight="1" x14ac:dyDescent="0.2">
      <c r="B38" s="24"/>
      <c r="C38" s="22"/>
      <c r="D38" s="22"/>
      <c r="E38" s="22"/>
      <c r="F38" s="22"/>
      <c r="G38" s="161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2:63" ht="13.5" customHeight="1" x14ac:dyDescent="0.2">
      <c r="B39" s="24"/>
      <c r="C39" s="22"/>
      <c r="D39" s="22"/>
      <c r="E39" s="22"/>
      <c r="F39" s="22"/>
      <c r="G39" s="161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2:63" ht="13.5" customHeight="1" x14ac:dyDescent="0.2"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  <row r="42" spans="2:63" ht="13.5" customHeight="1" x14ac:dyDescent="0.2">
      <c r="C42" s="97" t="s">
        <v>140</v>
      </c>
      <c r="D42" s="98"/>
      <c r="E42" s="97"/>
    </row>
    <row r="43" spans="2:63" ht="13.5" customHeight="1" x14ac:dyDescent="0.2">
      <c r="D43" s="98" t="s">
        <v>127</v>
      </c>
      <c r="E43" s="97" t="s">
        <v>84</v>
      </c>
    </row>
    <row r="44" spans="2:63" ht="13.5" customHeight="1" x14ac:dyDescent="0.2">
      <c r="D44" s="161"/>
      <c r="E44" s="99" t="s">
        <v>81</v>
      </c>
    </row>
    <row r="46" spans="2:63" ht="13.5" customHeight="1" x14ac:dyDescent="0.2">
      <c r="D46" s="97" t="s">
        <v>128</v>
      </c>
      <c r="E46" s="97" t="s">
        <v>76</v>
      </c>
    </row>
    <row r="47" spans="2:63" ht="13.5" customHeight="1" x14ac:dyDescent="0.2">
      <c r="D47" s="22"/>
      <c r="E47" s="97" t="s">
        <v>77</v>
      </c>
    </row>
    <row r="48" spans="2:63" ht="13.5" customHeight="1" x14ac:dyDescent="0.2">
      <c r="D48" s="22"/>
      <c r="E48" s="22"/>
    </row>
    <row r="49" spans="4:5" ht="13.5" customHeight="1" x14ac:dyDescent="0.2">
      <c r="D49" s="98" t="s">
        <v>129</v>
      </c>
      <c r="E49" s="100" t="s">
        <v>74</v>
      </c>
    </row>
    <row r="50" spans="4:5" ht="13.5" customHeight="1" x14ac:dyDescent="0.2">
      <c r="D50" s="22"/>
      <c r="E50" s="100" t="s">
        <v>85</v>
      </c>
    </row>
  </sheetData>
  <dataConsolidate/>
  <mergeCells count="21">
    <mergeCell ref="D36:I36"/>
    <mergeCell ref="J30:L30"/>
    <mergeCell ref="J31:L31"/>
    <mergeCell ref="J32:L32"/>
    <mergeCell ref="J33:L33"/>
    <mergeCell ref="J34:L34"/>
    <mergeCell ref="J35:L35"/>
    <mergeCell ref="J36:L36"/>
    <mergeCell ref="D30:I30"/>
    <mergeCell ref="D31:I31"/>
    <mergeCell ref="D32:I32"/>
    <mergeCell ref="D33:I33"/>
    <mergeCell ref="D34:I34"/>
    <mergeCell ref="D35:I35"/>
    <mergeCell ref="M36:Z36"/>
    <mergeCell ref="M30:Z30"/>
    <mergeCell ref="M31:Z31"/>
    <mergeCell ref="M32:Z32"/>
    <mergeCell ref="M33:Z33"/>
    <mergeCell ref="M34:Z34"/>
    <mergeCell ref="M35:Z35"/>
  </mergeCells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3">
    <tabColor rgb="FFFFFF00"/>
  </sheetPr>
  <dimension ref="A1:AQ107"/>
  <sheetViews>
    <sheetView tabSelected="1" view="pageBreakPreview" zoomScale="145" zoomScaleNormal="100" zoomScaleSheetLayoutView="145" workbookViewId="0">
      <pane ySplit="2" topLeftCell="A35" activePane="bottomLeft" state="frozen"/>
      <selection activeCell="T49" sqref="T49"/>
      <selection pane="bottomLeft" activeCell="D46" sqref="D46:G46"/>
    </sheetView>
  </sheetViews>
  <sheetFormatPr defaultColWidth="2.21875" defaultRowHeight="13.5" customHeight="1" x14ac:dyDescent="0.2"/>
  <cols>
    <col min="1" max="1" width="0.6640625" style="19" customWidth="1"/>
    <col min="2" max="2" width="5.21875" style="19" customWidth="1"/>
    <col min="3" max="3" width="5.33203125" style="19" customWidth="1"/>
    <col min="4" max="4" width="13.88671875" style="73" customWidth="1"/>
    <col min="5" max="5" width="15.33203125" style="19" customWidth="1"/>
    <col min="6" max="6" width="17.33203125" style="19" customWidth="1"/>
    <col min="7" max="7" width="28.33203125" style="19" customWidth="1"/>
    <col min="8" max="8" width="5.33203125" style="19" customWidth="1"/>
    <col min="9" max="9" width="9" style="19" customWidth="1"/>
    <col min="10" max="10" width="8.109375" style="19" customWidth="1"/>
    <col min="11" max="11" width="5.33203125" style="19" customWidth="1"/>
    <col min="12" max="12" width="9" style="19" customWidth="1"/>
    <col min="13" max="13" width="8.109375" style="19" customWidth="1"/>
    <col min="14" max="15" width="1.77734375" style="19" customWidth="1"/>
    <col min="16" max="16" width="2" style="19" customWidth="1"/>
    <col min="17" max="17" width="0.6640625" style="19" hidden="1" customWidth="1"/>
    <col min="18" max="18" width="1.21875" style="19" customWidth="1"/>
    <col min="19" max="19" width="9.44140625" style="19" customWidth="1"/>
    <col min="20" max="20" width="0.6640625" style="19" customWidth="1"/>
    <col min="21" max="21" width="9.6640625" style="19" customWidth="1"/>
    <col min="22" max="23" width="2.21875" style="19" customWidth="1"/>
    <col min="24" max="16384" width="2.21875" style="19"/>
  </cols>
  <sheetData>
    <row r="1" spans="1:43" ht="13.5" customHeight="1" x14ac:dyDescent="0.2">
      <c r="A1" s="20"/>
      <c r="B1" s="153" t="b">
        <v>1</v>
      </c>
      <c r="C1" s="153"/>
      <c r="D1" s="155"/>
      <c r="E1" s="153"/>
      <c r="F1" s="153"/>
      <c r="G1" s="153"/>
      <c r="H1" s="153"/>
      <c r="I1" s="153"/>
      <c r="J1" s="89"/>
      <c r="K1" s="153"/>
      <c r="L1" s="153"/>
      <c r="M1" s="89"/>
    </row>
    <row r="2" spans="1:43" ht="13.5" customHeight="1" x14ac:dyDescent="0.2">
      <c r="A2" s="20"/>
      <c r="B2" s="153"/>
      <c r="C2" s="153"/>
      <c r="D2" s="155"/>
      <c r="E2" s="153"/>
      <c r="F2" s="153"/>
      <c r="G2" s="153"/>
      <c r="H2" s="153"/>
      <c r="I2" s="153"/>
      <c r="J2" s="153"/>
      <c r="K2" s="153"/>
      <c r="L2" s="153"/>
      <c r="M2" s="153"/>
    </row>
    <row r="3" spans="1:43" s="23" customFormat="1" ht="13.5" customHeight="1" x14ac:dyDescent="0.2">
      <c r="A3" s="22"/>
      <c r="B3" s="153"/>
      <c r="C3" s="153"/>
      <c r="D3" s="155"/>
      <c r="E3" s="153"/>
      <c r="F3" s="153"/>
      <c r="G3" s="153"/>
      <c r="H3" s="153"/>
      <c r="I3" s="153"/>
      <c r="J3" s="153"/>
      <c r="K3" s="153"/>
      <c r="L3" s="153"/>
      <c r="M3" s="153"/>
    </row>
    <row r="4" spans="1:43" s="23" customFormat="1" ht="13.5" customHeight="1" x14ac:dyDescent="0.2">
      <c r="A4" s="22"/>
      <c r="B4" s="173"/>
      <c r="C4" s="173"/>
      <c r="D4" s="174"/>
      <c r="E4" s="174"/>
      <c r="F4" s="174"/>
      <c r="G4" s="174"/>
      <c r="H4" s="173"/>
      <c r="I4" s="173"/>
      <c r="J4" s="173"/>
      <c r="K4" s="173"/>
      <c r="L4" s="173"/>
      <c r="M4" s="173"/>
    </row>
    <row r="5" spans="1:43" s="23" customFormat="1" ht="4.5" customHeight="1" x14ac:dyDescent="0.2">
      <c r="A5" s="22"/>
      <c r="B5" s="162"/>
      <c r="C5" s="162"/>
      <c r="D5" s="175"/>
      <c r="E5" s="175"/>
      <c r="F5" s="175"/>
      <c r="G5" s="175"/>
      <c r="H5" s="27"/>
      <c r="I5" s="27"/>
      <c r="J5" s="27"/>
      <c r="K5" s="27"/>
      <c r="L5" s="27"/>
      <c r="M5" s="27"/>
    </row>
    <row r="6" spans="1:43" s="23" customFormat="1" ht="38.25" customHeight="1" x14ac:dyDescent="0.2">
      <c r="A6" s="22"/>
      <c r="B6" s="74" t="s">
        <v>53</v>
      </c>
      <c r="C6" s="263" t="s">
        <v>236</v>
      </c>
      <c r="D6" s="264"/>
      <c r="E6" s="264"/>
      <c r="F6" s="264"/>
      <c r="G6" s="264"/>
      <c r="H6" s="264"/>
      <c r="I6" s="265"/>
      <c r="J6" s="75" t="s">
        <v>42</v>
      </c>
      <c r="K6" s="266" t="s">
        <v>42</v>
      </c>
      <c r="L6" s="267"/>
      <c r="M6" s="267"/>
      <c r="N6" s="267"/>
      <c r="O6" s="267"/>
      <c r="P6" s="268"/>
      <c r="U6" s="190"/>
      <c r="V6" s="190"/>
    </row>
    <row r="7" spans="1:43" s="23" customFormat="1" ht="38.25" customHeight="1" x14ac:dyDescent="0.2">
      <c r="A7" s="22"/>
      <c r="B7" s="74" t="s">
        <v>54</v>
      </c>
      <c r="C7" s="263"/>
      <c r="D7" s="264"/>
      <c r="E7" s="264"/>
      <c r="F7" s="264"/>
      <c r="G7" s="264"/>
      <c r="H7" s="264"/>
      <c r="I7" s="265"/>
      <c r="J7" s="75" t="s">
        <v>42</v>
      </c>
      <c r="K7" s="266" t="s">
        <v>42</v>
      </c>
      <c r="L7" s="267"/>
      <c r="M7" s="267"/>
      <c r="N7" s="267"/>
      <c r="O7" s="267"/>
      <c r="P7" s="268"/>
      <c r="U7" s="19"/>
      <c r="V7" s="19"/>
    </row>
    <row r="8" spans="1:43" ht="12" customHeight="1" x14ac:dyDescent="0.2">
      <c r="A8" s="20"/>
      <c r="B8" s="271" t="s">
        <v>18</v>
      </c>
      <c r="C8" s="273" t="s">
        <v>157</v>
      </c>
      <c r="D8" s="271" t="s">
        <v>124</v>
      </c>
      <c r="E8" s="271" t="s">
        <v>49</v>
      </c>
      <c r="F8" s="271" t="s">
        <v>104</v>
      </c>
      <c r="G8" s="269" t="s">
        <v>50</v>
      </c>
      <c r="H8" s="254" t="s">
        <v>162</v>
      </c>
      <c r="I8" s="255"/>
      <c r="J8" s="256"/>
      <c r="K8" s="254" t="s">
        <v>158</v>
      </c>
      <c r="L8" s="255"/>
      <c r="M8" s="256"/>
      <c r="N8" s="257" t="s">
        <v>141</v>
      </c>
      <c r="O8" s="258"/>
      <c r="P8" s="259"/>
      <c r="R8" s="23"/>
      <c r="S8" s="23"/>
      <c r="T8" s="23"/>
    </row>
    <row r="9" spans="1:43" ht="12" x14ac:dyDescent="0.2">
      <c r="A9" s="20"/>
      <c r="B9" s="272"/>
      <c r="C9" s="274"/>
      <c r="D9" s="272"/>
      <c r="E9" s="272"/>
      <c r="F9" s="272"/>
      <c r="G9" s="270"/>
      <c r="H9" s="77" t="s">
        <v>55</v>
      </c>
      <c r="I9" s="74" t="s">
        <v>202</v>
      </c>
      <c r="J9" s="75" t="s">
        <v>56</v>
      </c>
      <c r="K9" s="77" t="s">
        <v>55</v>
      </c>
      <c r="L9" s="74" t="s">
        <v>202</v>
      </c>
      <c r="M9" s="75" t="s">
        <v>56</v>
      </c>
      <c r="N9" s="260"/>
      <c r="O9" s="261"/>
      <c r="P9" s="262"/>
      <c r="R9" s="23"/>
      <c r="S9" s="23"/>
      <c r="T9" s="23"/>
    </row>
    <row r="10" spans="1:43" ht="26.4" customHeight="1" x14ac:dyDescent="0.2">
      <c r="A10" s="20"/>
      <c r="B10" s="195">
        <v>1</v>
      </c>
      <c r="C10" s="144" t="s">
        <v>151</v>
      </c>
      <c r="D10" s="143" t="s">
        <v>254</v>
      </c>
      <c r="E10" s="321" t="s">
        <v>220</v>
      </c>
      <c r="F10" s="143" t="s">
        <v>217</v>
      </c>
      <c r="G10" s="143" t="s">
        <v>238</v>
      </c>
      <c r="H10" s="145"/>
      <c r="I10" s="145"/>
      <c r="J10" s="114"/>
      <c r="K10" s="179"/>
      <c r="L10" s="179"/>
      <c r="M10" s="114"/>
      <c r="N10" s="191"/>
      <c r="O10" s="192"/>
      <c r="P10" s="193"/>
      <c r="R10" s="23"/>
      <c r="S10" s="23"/>
      <c r="T10" s="23"/>
    </row>
    <row r="11" spans="1:43" ht="39.6" customHeight="1" x14ac:dyDescent="0.2">
      <c r="A11" s="20"/>
      <c r="B11" s="76">
        <f>B10+1</f>
        <v>2</v>
      </c>
      <c r="C11" s="144" t="s">
        <v>151</v>
      </c>
      <c r="D11" s="143" t="s">
        <v>254</v>
      </c>
      <c r="E11" s="322" t="s">
        <v>216</v>
      </c>
      <c r="F11" s="143" t="s">
        <v>218</v>
      </c>
      <c r="G11" s="143" t="s">
        <v>239</v>
      </c>
      <c r="H11" s="145"/>
      <c r="I11" s="145"/>
      <c r="J11" s="114"/>
      <c r="K11" s="179"/>
      <c r="L11" s="179"/>
      <c r="M11" s="114"/>
      <c r="N11" s="194"/>
      <c r="O11" s="192"/>
      <c r="P11" s="193"/>
      <c r="R11" s="23"/>
      <c r="S11" s="23"/>
      <c r="T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</row>
    <row r="12" spans="1:43" ht="39.6" customHeight="1" x14ac:dyDescent="0.2">
      <c r="B12" s="76">
        <f>B11+1</f>
        <v>3</v>
      </c>
      <c r="C12" s="144" t="s">
        <v>151</v>
      </c>
      <c r="D12" s="143" t="s">
        <v>254</v>
      </c>
      <c r="E12" s="321" t="s">
        <v>215</v>
      </c>
      <c r="F12" s="143" t="s">
        <v>219</v>
      </c>
      <c r="G12" s="143" t="s">
        <v>239</v>
      </c>
      <c r="H12" s="145"/>
      <c r="I12" s="145"/>
      <c r="J12" s="114"/>
      <c r="K12" s="179"/>
      <c r="L12" s="179"/>
      <c r="M12" s="182"/>
      <c r="N12" s="194"/>
      <c r="O12" s="192"/>
      <c r="P12" s="116"/>
      <c r="R12" s="23"/>
      <c r="S12" s="23"/>
      <c r="T12" s="23"/>
    </row>
    <row r="13" spans="1:43" ht="66" customHeight="1" x14ac:dyDescent="0.2">
      <c r="B13" s="76">
        <f>B12+1</f>
        <v>4</v>
      </c>
      <c r="C13" s="144" t="s">
        <v>151</v>
      </c>
      <c r="D13" s="143" t="s">
        <v>254</v>
      </c>
      <c r="E13" s="321" t="s">
        <v>215</v>
      </c>
      <c r="F13" s="143" t="s">
        <v>221</v>
      </c>
      <c r="G13" s="143" t="s">
        <v>266</v>
      </c>
      <c r="H13" s="145"/>
      <c r="I13" s="145"/>
      <c r="J13" s="114"/>
      <c r="K13" s="179"/>
      <c r="L13" s="179"/>
      <c r="M13" s="182"/>
      <c r="N13" s="194"/>
      <c r="O13" s="192"/>
      <c r="P13" s="116"/>
      <c r="R13" s="23"/>
      <c r="S13" s="23"/>
      <c r="T13" s="23"/>
    </row>
    <row r="14" spans="1:43" ht="66" customHeight="1" x14ac:dyDescent="0.2">
      <c r="B14" s="76">
        <f>B13+1</f>
        <v>5</v>
      </c>
      <c r="C14" s="144" t="s">
        <v>151</v>
      </c>
      <c r="D14" s="143" t="s">
        <v>254</v>
      </c>
      <c r="E14" s="321" t="s">
        <v>215</v>
      </c>
      <c r="F14" s="143" t="s">
        <v>222</v>
      </c>
      <c r="G14" s="143" t="s">
        <v>267</v>
      </c>
      <c r="H14" s="179"/>
      <c r="I14" s="145"/>
      <c r="J14" s="114"/>
      <c r="K14" s="179"/>
      <c r="L14" s="179"/>
      <c r="M14" s="182"/>
      <c r="N14" s="194"/>
      <c r="O14" s="192"/>
      <c r="P14" s="193"/>
      <c r="R14" s="23"/>
      <c r="S14" s="23"/>
      <c r="T14" s="23"/>
    </row>
    <row r="15" spans="1:43" ht="79.2" customHeight="1" x14ac:dyDescent="0.2">
      <c r="B15" s="76">
        <f>B14+1</f>
        <v>6</v>
      </c>
      <c r="C15" s="144" t="s">
        <v>151</v>
      </c>
      <c r="D15" s="143" t="s">
        <v>254</v>
      </c>
      <c r="E15" s="321" t="s">
        <v>215</v>
      </c>
      <c r="F15" s="143" t="s">
        <v>223</v>
      </c>
      <c r="G15" s="143" t="s">
        <v>268</v>
      </c>
      <c r="H15" s="145"/>
      <c r="I15" s="145"/>
      <c r="J15" s="114"/>
      <c r="K15" s="179"/>
      <c r="L15" s="179"/>
      <c r="M15" s="182"/>
      <c r="N15" s="194"/>
      <c r="O15" s="192"/>
      <c r="P15" s="193"/>
      <c r="R15" s="23"/>
      <c r="S15" s="23"/>
      <c r="T15" s="23"/>
    </row>
    <row r="16" spans="1:43" ht="39.6" customHeight="1" x14ac:dyDescent="0.2">
      <c r="B16" s="76">
        <f>B15+1</f>
        <v>7</v>
      </c>
      <c r="C16" s="144" t="s">
        <v>151</v>
      </c>
      <c r="D16" s="143" t="s">
        <v>255</v>
      </c>
      <c r="E16" s="321" t="s">
        <v>225</v>
      </c>
      <c r="F16" s="143" t="s">
        <v>217</v>
      </c>
      <c r="G16" s="143" t="s">
        <v>253</v>
      </c>
      <c r="H16" s="145"/>
      <c r="I16" s="145"/>
      <c r="J16" s="114"/>
      <c r="K16" s="179"/>
      <c r="L16" s="179"/>
      <c r="M16" s="182"/>
      <c r="N16" s="194"/>
      <c r="O16" s="192"/>
      <c r="P16" s="193"/>
      <c r="R16" s="23"/>
      <c r="S16" s="23"/>
      <c r="T16" s="23"/>
    </row>
    <row r="17" spans="2:20" ht="26.4" customHeight="1" x14ac:dyDescent="0.2">
      <c r="B17" s="76">
        <f>B16+1</f>
        <v>8</v>
      </c>
      <c r="C17" s="144" t="s">
        <v>151</v>
      </c>
      <c r="D17" s="322" t="s">
        <v>255</v>
      </c>
      <c r="E17" s="322" t="s">
        <v>216</v>
      </c>
      <c r="F17" s="143" t="s">
        <v>218</v>
      </c>
      <c r="G17" s="143" t="s">
        <v>240</v>
      </c>
      <c r="H17" s="145"/>
      <c r="I17" s="145"/>
      <c r="J17" s="114"/>
      <c r="K17" s="179"/>
      <c r="L17" s="179"/>
      <c r="M17" s="182"/>
      <c r="N17" s="194"/>
      <c r="O17" s="115"/>
      <c r="P17" s="116"/>
      <c r="R17" s="23"/>
      <c r="S17" s="23"/>
      <c r="T17" s="23"/>
    </row>
    <row r="18" spans="2:20" ht="39.6" customHeight="1" x14ac:dyDescent="0.2">
      <c r="B18" s="76">
        <f>B17+1</f>
        <v>9</v>
      </c>
      <c r="C18" s="144" t="s">
        <v>151</v>
      </c>
      <c r="D18" s="322" t="s">
        <v>255</v>
      </c>
      <c r="E18" s="322" t="s">
        <v>216</v>
      </c>
      <c r="F18" s="143" t="s">
        <v>219</v>
      </c>
      <c r="G18" s="143" t="s">
        <v>253</v>
      </c>
      <c r="H18" s="145"/>
      <c r="I18" s="145"/>
      <c r="J18" s="114"/>
      <c r="K18" s="179"/>
      <c r="L18" s="179"/>
      <c r="M18" s="182"/>
      <c r="N18" s="194"/>
      <c r="O18" s="192"/>
      <c r="P18" s="116"/>
      <c r="R18" s="23"/>
      <c r="S18" s="23"/>
      <c r="T18" s="23"/>
    </row>
    <row r="19" spans="2:20" ht="66" customHeight="1" x14ac:dyDescent="0.2">
      <c r="B19" s="76">
        <f>B18+1</f>
        <v>10</v>
      </c>
      <c r="C19" s="144" t="s">
        <v>151</v>
      </c>
      <c r="D19" s="322" t="s">
        <v>255</v>
      </c>
      <c r="E19" s="322" t="s">
        <v>216</v>
      </c>
      <c r="F19" s="143" t="s">
        <v>224</v>
      </c>
      <c r="G19" s="143" t="s">
        <v>269</v>
      </c>
      <c r="H19" s="145"/>
      <c r="I19" s="145"/>
      <c r="J19" s="114"/>
      <c r="K19" s="179"/>
      <c r="L19" s="179"/>
      <c r="M19" s="182"/>
      <c r="N19" s="194"/>
      <c r="O19" s="115"/>
      <c r="P19" s="116"/>
      <c r="R19" s="23"/>
      <c r="S19" s="23"/>
      <c r="T19" s="23"/>
    </row>
    <row r="20" spans="2:20" ht="92.4" customHeight="1" x14ac:dyDescent="0.2">
      <c r="B20" s="76">
        <f>B19+1</f>
        <v>11</v>
      </c>
      <c r="C20" s="144" t="s">
        <v>151</v>
      </c>
      <c r="D20" s="322" t="s">
        <v>255</v>
      </c>
      <c r="E20" s="322" t="s">
        <v>216</v>
      </c>
      <c r="F20" s="143" t="s">
        <v>241</v>
      </c>
      <c r="G20" s="143" t="s">
        <v>270</v>
      </c>
      <c r="H20" s="145"/>
      <c r="I20" s="145"/>
      <c r="J20" s="114"/>
      <c r="K20" s="179"/>
      <c r="L20" s="179"/>
      <c r="M20" s="182"/>
      <c r="N20" s="194"/>
      <c r="O20" s="115"/>
      <c r="P20" s="116"/>
      <c r="R20" s="23"/>
      <c r="S20" s="23"/>
      <c r="T20" s="23"/>
    </row>
    <row r="21" spans="2:20" ht="79.2" customHeight="1" x14ac:dyDescent="0.2">
      <c r="B21" s="76">
        <f>B20+1</f>
        <v>12</v>
      </c>
      <c r="C21" s="144" t="s">
        <v>151</v>
      </c>
      <c r="D21" s="322" t="s">
        <v>255</v>
      </c>
      <c r="E21" s="322" t="s">
        <v>216</v>
      </c>
      <c r="F21" s="143" t="s">
        <v>242</v>
      </c>
      <c r="G21" s="143" t="s">
        <v>271</v>
      </c>
      <c r="H21" s="145"/>
      <c r="I21" s="145"/>
      <c r="J21" s="114"/>
      <c r="K21" s="179"/>
      <c r="L21" s="179"/>
      <c r="M21" s="182"/>
      <c r="N21" s="194"/>
      <c r="O21" s="115"/>
      <c r="P21" s="116"/>
      <c r="R21" s="23"/>
      <c r="S21" s="23"/>
      <c r="T21" s="23"/>
    </row>
    <row r="22" spans="2:20" ht="66" customHeight="1" x14ac:dyDescent="0.2">
      <c r="B22" s="76">
        <f>B21+1</f>
        <v>13</v>
      </c>
      <c r="C22" s="144" t="s">
        <v>151</v>
      </c>
      <c r="D22" s="322" t="s">
        <v>255</v>
      </c>
      <c r="E22" s="322" t="s">
        <v>216</v>
      </c>
      <c r="F22" s="143" t="s">
        <v>226</v>
      </c>
      <c r="G22" s="143" t="s">
        <v>278</v>
      </c>
      <c r="H22" s="145"/>
      <c r="I22" s="145"/>
      <c r="J22" s="114"/>
      <c r="K22" s="179"/>
      <c r="L22" s="179"/>
      <c r="M22" s="182"/>
      <c r="N22" s="194"/>
      <c r="O22" s="115"/>
      <c r="P22" s="116"/>
      <c r="R22" s="23"/>
      <c r="S22" s="23"/>
      <c r="T22" s="23"/>
    </row>
    <row r="23" spans="2:20" ht="66" customHeight="1" x14ac:dyDescent="0.2">
      <c r="B23" s="76">
        <f>B22+1</f>
        <v>14</v>
      </c>
      <c r="C23" s="144" t="s">
        <v>151</v>
      </c>
      <c r="D23" s="322" t="s">
        <v>255</v>
      </c>
      <c r="E23" s="322" t="s">
        <v>216</v>
      </c>
      <c r="F23" s="143" t="s">
        <v>227</v>
      </c>
      <c r="G23" s="143" t="s">
        <v>286</v>
      </c>
      <c r="H23" s="145"/>
      <c r="I23" s="145"/>
      <c r="J23" s="114"/>
      <c r="K23" s="179"/>
      <c r="L23" s="179"/>
      <c r="M23" s="182"/>
      <c r="N23" s="194"/>
      <c r="O23" s="115"/>
      <c r="P23" s="116"/>
      <c r="R23" s="23"/>
      <c r="S23" s="23"/>
      <c r="T23" s="23"/>
    </row>
    <row r="24" spans="2:20" ht="39.6" customHeight="1" x14ac:dyDescent="0.2">
      <c r="B24" s="76">
        <f>B23+1</f>
        <v>15</v>
      </c>
      <c r="C24" s="144" t="s">
        <v>151</v>
      </c>
      <c r="D24" s="143" t="s">
        <v>257</v>
      </c>
      <c r="E24" s="321" t="s">
        <v>228</v>
      </c>
      <c r="F24" s="143" t="s">
        <v>217</v>
      </c>
      <c r="G24" s="143" t="s">
        <v>243</v>
      </c>
      <c r="H24" s="145"/>
      <c r="I24" s="145"/>
      <c r="J24" s="114"/>
      <c r="K24" s="179"/>
      <c r="L24" s="179"/>
      <c r="M24" s="182"/>
      <c r="N24" s="194"/>
      <c r="O24" s="115"/>
      <c r="P24" s="116"/>
      <c r="R24" s="23"/>
      <c r="S24" s="23"/>
      <c r="T24" s="23"/>
    </row>
    <row r="25" spans="2:20" ht="39.6" customHeight="1" x14ac:dyDescent="0.2">
      <c r="B25" s="76">
        <f>B24+1</f>
        <v>16</v>
      </c>
      <c r="C25" s="144" t="s">
        <v>151</v>
      </c>
      <c r="D25" s="322" t="s">
        <v>257</v>
      </c>
      <c r="E25" s="322" t="s">
        <v>216</v>
      </c>
      <c r="F25" s="143" t="s">
        <v>218</v>
      </c>
      <c r="G25" s="143" t="s">
        <v>243</v>
      </c>
      <c r="H25" s="145"/>
      <c r="I25" s="143"/>
      <c r="J25" s="114"/>
      <c r="K25" s="179"/>
      <c r="L25" s="179"/>
      <c r="M25" s="182"/>
      <c r="N25" s="194"/>
      <c r="O25" s="115"/>
      <c r="P25" s="116"/>
      <c r="R25" s="23"/>
      <c r="S25" s="23"/>
      <c r="T25" s="23"/>
    </row>
    <row r="26" spans="2:20" ht="26.4" customHeight="1" x14ac:dyDescent="0.2">
      <c r="B26" s="76">
        <f>B25+1</f>
        <v>17</v>
      </c>
      <c r="C26" s="144" t="s">
        <v>151</v>
      </c>
      <c r="D26" s="143" t="s">
        <v>256</v>
      </c>
      <c r="E26" s="322" t="s">
        <v>216</v>
      </c>
      <c r="F26" s="143" t="s">
        <v>219</v>
      </c>
      <c r="G26" s="143" t="s">
        <v>244</v>
      </c>
      <c r="H26" s="145"/>
      <c r="I26" s="145"/>
      <c r="J26" s="114"/>
      <c r="K26" s="179"/>
      <c r="L26" s="179"/>
      <c r="M26" s="182"/>
      <c r="N26" s="194"/>
      <c r="O26" s="115"/>
      <c r="P26" s="116"/>
      <c r="R26" s="23"/>
      <c r="S26" s="23"/>
      <c r="T26" s="23"/>
    </row>
    <row r="27" spans="2:20" ht="79.2" customHeight="1" x14ac:dyDescent="0.2">
      <c r="B27" s="76">
        <f>B26+1</f>
        <v>18</v>
      </c>
      <c r="C27" s="144" t="s">
        <v>151</v>
      </c>
      <c r="D27" s="322" t="s">
        <v>256</v>
      </c>
      <c r="E27" s="322" t="s">
        <v>216</v>
      </c>
      <c r="F27" s="143" t="s">
        <v>229</v>
      </c>
      <c r="G27" s="143" t="s">
        <v>279</v>
      </c>
      <c r="H27" s="145"/>
      <c r="I27" s="145"/>
      <c r="J27" s="114"/>
      <c r="K27" s="179"/>
      <c r="L27" s="179"/>
      <c r="M27" s="182"/>
      <c r="N27" s="194"/>
      <c r="O27" s="115"/>
      <c r="P27" s="116"/>
      <c r="R27" s="23"/>
      <c r="S27" s="23"/>
      <c r="T27" s="23"/>
    </row>
    <row r="28" spans="2:20" ht="79.2" customHeight="1" x14ac:dyDescent="0.2">
      <c r="B28" s="76">
        <f>B27+1</f>
        <v>19</v>
      </c>
      <c r="C28" s="144" t="s">
        <v>151</v>
      </c>
      <c r="D28" s="143" t="s">
        <v>256</v>
      </c>
      <c r="E28" s="322" t="s">
        <v>216</v>
      </c>
      <c r="F28" s="143" t="s">
        <v>230</v>
      </c>
      <c r="G28" s="143" t="s">
        <v>282</v>
      </c>
      <c r="H28" s="145"/>
      <c r="I28" s="145"/>
      <c r="J28" s="114"/>
      <c r="K28" s="179"/>
      <c r="L28" s="179"/>
      <c r="M28" s="182"/>
      <c r="N28" s="194"/>
      <c r="O28" s="115"/>
      <c r="P28" s="116"/>
      <c r="R28" s="23"/>
      <c r="S28" s="23"/>
      <c r="T28" s="23"/>
    </row>
    <row r="29" spans="2:20" ht="92.4" customHeight="1" x14ac:dyDescent="0.2">
      <c r="B29" s="76">
        <f>B28+1</f>
        <v>20</v>
      </c>
      <c r="C29" s="144" t="s">
        <v>151</v>
      </c>
      <c r="D29" s="322" t="s">
        <v>256</v>
      </c>
      <c r="E29" s="322" t="s">
        <v>216</v>
      </c>
      <c r="F29" s="143" t="s">
        <v>231</v>
      </c>
      <c r="G29" s="143" t="s">
        <v>272</v>
      </c>
      <c r="H29" s="145"/>
      <c r="I29" s="145"/>
      <c r="J29" s="114"/>
      <c r="K29" s="179"/>
      <c r="L29" s="179"/>
      <c r="M29" s="182"/>
      <c r="N29" s="194"/>
      <c r="O29" s="115"/>
      <c r="P29" s="116"/>
      <c r="R29" s="23"/>
      <c r="S29" s="23"/>
      <c r="T29" s="23"/>
    </row>
    <row r="30" spans="2:20" ht="26.4" customHeight="1" x14ac:dyDescent="0.2">
      <c r="B30" s="76">
        <f>B29+1</f>
        <v>21</v>
      </c>
      <c r="C30" s="144" t="s">
        <v>151</v>
      </c>
      <c r="D30" s="143" t="s">
        <v>259</v>
      </c>
      <c r="E30" s="321" t="s">
        <v>232</v>
      </c>
      <c r="F30" s="143" t="s">
        <v>217</v>
      </c>
      <c r="G30" s="143" t="s">
        <v>248</v>
      </c>
      <c r="H30" s="145"/>
      <c r="I30" s="145"/>
      <c r="J30" s="114"/>
      <c r="K30" s="179"/>
      <c r="L30" s="179"/>
      <c r="M30" s="182"/>
      <c r="N30" s="194"/>
      <c r="O30" s="115"/>
      <c r="P30" s="116"/>
      <c r="R30" s="23"/>
      <c r="S30" s="23"/>
      <c r="T30" s="23"/>
    </row>
    <row r="31" spans="2:20" ht="39.6" customHeight="1" x14ac:dyDescent="0.2">
      <c r="B31" s="76">
        <f>B30+1</f>
        <v>22</v>
      </c>
      <c r="C31" s="144" t="s">
        <v>151</v>
      </c>
      <c r="D31" s="322" t="s">
        <v>259</v>
      </c>
      <c r="E31" s="322" t="s">
        <v>216</v>
      </c>
      <c r="F31" s="143" t="s">
        <v>218</v>
      </c>
      <c r="G31" s="143" t="s">
        <v>249</v>
      </c>
      <c r="H31" s="145"/>
      <c r="I31" s="145"/>
      <c r="J31" s="114"/>
      <c r="K31" s="179"/>
      <c r="L31" s="179"/>
      <c r="M31" s="182"/>
      <c r="N31" s="194"/>
      <c r="O31" s="115"/>
      <c r="P31" s="116"/>
      <c r="R31" s="23"/>
      <c r="S31" s="23"/>
      <c r="T31" s="23"/>
    </row>
    <row r="32" spans="2:20" ht="39.6" customHeight="1" x14ac:dyDescent="0.2">
      <c r="B32" s="76">
        <f>B31+1</f>
        <v>23</v>
      </c>
      <c r="C32" s="144" t="s">
        <v>151</v>
      </c>
      <c r="D32" s="143" t="s">
        <v>258</v>
      </c>
      <c r="E32" s="322" t="s">
        <v>216</v>
      </c>
      <c r="F32" s="143" t="s">
        <v>219</v>
      </c>
      <c r="G32" s="143" t="s">
        <v>249</v>
      </c>
      <c r="H32" s="145"/>
      <c r="I32" s="145"/>
      <c r="J32" s="114"/>
      <c r="K32" s="179"/>
      <c r="L32" s="179"/>
      <c r="M32" s="182"/>
      <c r="N32" s="194"/>
      <c r="O32" s="115"/>
      <c r="P32" s="116"/>
      <c r="R32" s="23"/>
      <c r="S32" s="23"/>
      <c r="T32" s="23"/>
    </row>
    <row r="33" spans="2:20" ht="79.2" customHeight="1" x14ac:dyDescent="0.2">
      <c r="B33" s="76">
        <f>B32+1</f>
        <v>24</v>
      </c>
      <c r="C33" s="144" t="s">
        <v>151</v>
      </c>
      <c r="D33" s="322" t="s">
        <v>258</v>
      </c>
      <c r="E33" s="322" t="s">
        <v>216</v>
      </c>
      <c r="F33" s="143" t="s">
        <v>233</v>
      </c>
      <c r="G33" s="143" t="s">
        <v>273</v>
      </c>
      <c r="H33" s="145"/>
      <c r="I33" s="145"/>
      <c r="J33" s="114"/>
      <c r="K33" s="179"/>
      <c r="L33" s="179"/>
      <c r="M33" s="182"/>
      <c r="N33" s="194"/>
      <c r="O33" s="115"/>
      <c r="P33" s="116"/>
      <c r="R33" s="23"/>
      <c r="S33" s="23"/>
      <c r="T33" s="23"/>
    </row>
    <row r="34" spans="2:20" ht="79.2" customHeight="1" x14ac:dyDescent="0.2">
      <c r="B34" s="76">
        <f>B33+1</f>
        <v>25</v>
      </c>
      <c r="C34" s="144" t="s">
        <v>151</v>
      </c>
      <c r="D34" s="143" t="s">
        <v>258</v>
      </c>
      <c r="E34" s="322" t="s">
        <v>216</v>
      </c>
      <c r="F34" s="143" t="s">
        <v>222</v>
      </c>
      <c r="G34" s="143" t="s">
        <v>274</v>
      </c>
      <c r="H34" s="145"/>
      <c r="I34" s="145"/>
      <c r="J34" s="114"/>
      <c r="K34" s="179"/>
      <c r="L34" s="179"/>
      <c r="M34" s="182"/>
      <c r="N34" s="194"/>
      <c r="O34" s="115"/>
      <c r="P34" s="116"/>
      <c r="R34" s="23"/>
      <c r="S34" s="23"/>
      <c r="T34" s="23"/>
    </row>
    <row r="35" spans="2:20" ht="92.4" customHeight="1" x14ac:dyDescent="0.2">
      <c r="B35" s="76">
        <f>B34+1</f>
        <v>26</v>
      </c>
      <c r="C35" s="144" t="s">
        <v>151</v>
      </c>
      <c r="D35" s="322" t="s">
        <v>258</v>
      </c>
      <c r="E35" s="322" t="s">
        <v>216</v>
      </c>
      <c r="F35" s="143" t="s">
        <v>223</v>
      </c>
      <c r="G35" s="143" t="s">
        <v>283</v>
      </c>
      <c r="H35" s="145"/>
      <c r="I35" s="145"/>
      <c r="J35" s="114"/>
      <c r="K35" s="179"/>
      <c r="L35" s="179"/>
      <c r="M35" s="182"/>
      <c r="N35" s="194"/>
      <c r="O35" s="115"/>
      <c r="P35" s="116"/>
      <c r="R35" s="23"/>
      <c r="S35" s="23"/>
      <c r="T35" s="23"/>
    </row>
    <row r="36" spans="2:20" ht="39.6" customHeight="1" x14ac:dyDescent="0.2">
      <c r="B36" s="76">
        <f>B35+1</f>
        <v>27</v>
      </c>
      <c r="C36" s="144" t="s">
        <v>151</v>
      </c>
      <c r="D36" s="143" t="s">
        <v>261</v>
      </c>
      <c r="E36" s="321" t="s">
        <v>234</v>
      </c>
      <c r="F36" s="143" t="s">
        <v>217</v>
      </c>
      <c r="G36" s="143" t="s">
        <v>246</v>
      </c>
      <c r="H36" s="145"/>
      <c r="I36" s="139"/>
      <c r="J36" s="114"/>
      <c r="K36" s="179"/>
      <c r="L36" s="179"/>
      <c r="M36" s="182"/>
      <c r="N36" s="194"/>
      <c r="O36" s="115"/>
      <c r="P36" s="116"/>
      <c r="R36" s="23"/>
      <c r="S36" s="23"/>
      <c r="T36" s="23"/>
    </row>
    <row r="37" spans="2:20" ht="26.4" customHeight="1" x14ac:dyDescent="0.2">
      <c r="B37" s="76">
        <f>B36+1</f>
        <v>28</v>
      </c>
      <c r="C37" s="144" t="s">
        <v>151</v>
      </c>
      <c r="D37" s="143" t="s">
        <v>261</v>
      </c>
      <c r="E37" s="322" t="s">
        <v>216</v>
      </c>
      <c r="F37" s="143" t="s">
        <v>218</v>
      </c>
      <c r="G37" s="143" t="s">
        <v>247</v>
      </c>
      <c r="H37" s="145"/>
      <c r="I37" s="139"/>
      <c r="J37" s="114"/>
      <c r="K37" s="179"/>
      <c r="L37" s="179"/>
      <c r="M37" s="182"/>
      <c r="N37" s="194"/>
      <c r="O37" s="115"/>
      <c r="P37" s="116"/>
      <c r="R37" s="23"/>
      <c r="S37" s="23"/>
      <c r="T37" s="23"/>
    </row>
    <row r="38" spans="2:20" ht="39.6" customHeight="1" x14ac:dyDescent="0.2">
      <c r="B38" s="76">
        <f>B37+1</f>
        <v>29</v>
      </c>
      <c r="C38" s="144" t="s">
        <v>151</v>
      </c>
      <c r="D38" s="143" t="s">
        <v>260</v>
      </c>
      <c r="E38" s="322" t="s">
        <v>216</v>
      </c>
      <c r="F38" s="143" t="s">
        <v>219</v>
      </c>
      <c r="G38" s="143" t="s">
        <v>246</v>
      </c>
      <c r="H38" s="145"/>
      <c r="I38" s="139"/>
      <c r="J38" s="114"/>
      <c r="K38" s="179"/>
      <c r="L38" s="179"/>
      <c r="M38" s="182"/>
      <c r="N38" s="194"/>
      <c r="O38" s="115"/>
      <c r="P38" s="116"/>
      <c r="R38" s="23"/>
      <c r="S38" s="23"/>
      <c r="T38" s="23"/>
    </row>
    <row r="39" spans="2:20" ht="79.2" customHeight="1" x14ac:dyDescent="0.2">
      <c r="B39" s="76">
        <f>B38+1</f>
        <v>30</v>
      </c>
      <c r="C39" s="144" t="s">
        <v>151</v>
      </c>
      <c r="D39" s="143" t="s">
        <v>260</v>
      </c>
      <c r="E39" s="322" t="s">
        <v>216</v>
      </c>
      <c r="F39" s="143" t="s">
        <v>224</v>
      </c>
      <c r="G39" s="143" t="s">
        <v>280</v>
      </c>
      <c r="H39" s="145"/>
      <c r="I39" s="145"/>
      <c r="J39" s="114"/>
      <c r="K39" s="179"/>
      <c r="L39" s="179"/>
      <c r="M39" s="182"/>
      <c r="N39" s="194"/>
      <c r="O39" s="115"/>
      <c r="P39" s="116"/>
      <c r="R39" s="23"/>
      <c r="S39" s="23"/>
      <c r="T39" s="23"/>
    </row>
    <row r="40" spans="2:20" ht="79.2" customHeight="1" x14ac:dyDescent="0.2">
      <c r="B40" s="195">
        <f>B39+1</f>
        <v>31</v>
      </c>
      <c r="C40" s="144" t="s">
        <v>151</v>
      </c>
      <c r="D40" s="143" t="s">
        <v>260</v>
      </c>
      <c r="E40" s="322" t="s">
        <v>216</v>
      </c>
      <c r="F40" s="143" t="s">
        <v>227</v>
      </c>
      <c r="G40" s="143" t="s">
        <v>275</v>
      </c>
      <c r="H40" s="201"/>
      <c r="I40" s="201"/>
      <c r="J40" s="202"/>
      <c r="K40" s="203"/>
      <c r="L40" s="203"/>
      <c r="M40" s="204"/>
      <c r="N40" s="194"/>
      <c r="O40" s="115"/>
      <c r="P40" s="116"/>
      <c r="R40" s="23"/>
      <c r="S40" s="23"/>
      <c r="T40" s="23"/>
    </row>
    <row r="41" spans="2:20" ht="39.6" customHeight="1" x14ac:dyDescent="0.2">
      <c r="B41" s="195">
        <f>B40+1</f>
        <v>32</v>
      </c>
      <c r="C41" s="144" t="s">
        <v>151</v>
      </c>
      <c r="D41" s="143" t="s">
        <v>263</v>
      </c>
      <c r="E41" s="321" t="s">
        <v>235</v>
      </c>
      <c r="F41" s="143" t="s">
        <v>217</v>
      </c>
      <c r="G41" s="143" t="s">
        <v>250</v>
      </c>
      <c r="H41" s="139"/>
      <c r="I41" s="139"/>
      <c r="J41" s="139"/>
      <c r="K41" s="139"/>
      <c r="L41" s="139"/>
      <c r="M41" s="206"/>
      <c r="N41" s="206"/>
      <c r="O41" s="209"/>
      <c r="P41" s="207"/>
      <c r="Q41" s="207"/>
    </row>
    <row r="42" spans="2:20" ht="26.4" customHeight="1" x14ac:dyDescent="0.2">
      <c r="B42" s="195">
        <f>B41+1</f>
        <v>33</v>
      </c>
      <c r="C42" s="144" t="s">
        <v>151</v>
      </c>
      <c r="D42" s="322" t="s">
        <v>263</v>
      </c>
      <c r="E42" s="322" t="s">
        <v>216</v>
      </c>
      <c r="F42" s="143" t="s">
        <v>218</v>
      </c>
      <c r="G42" s="143" t="s">
        <v>245</v>
      </c>
      <c r="H42" s="139"/>
      <c r="I42" s="139"/>
      <c r="J42" s="139"/>
      <c r="K42" s="139"/>
      <c r="L42" s="139"/>
      <c r="M42" s="206"/>
      <c r="N42" s="206"/>
      <c r="O42" s="209"/>
      <c r="P42" s="207"/>
      <c r="Q42" s="207"/>
    </row>
    <row r="43" spans="2:20" ht="39.6" customHeight="1" x14ac:dyDescent="0.2">
      <c r="B43" s="195">
        <f>B42+1</f>
        <v>34</v>
      </c>
      <c r="C43" s="144" t="s">
        <v>151</v>
      </c>
      <c r="D43" s="143" t="s">
        <v>262</v>
      </c>
      <c r="E43" s="322" t="s">
        <v>216</v>
      </c>
      <c r="F43" s="143" t="s">
        <v>219</v>
      </c>
      <c r="G43" s="143" t="s">
        <v>250</v>
      </c>
      <c r="H43" s="139"/>
      <c r="I43" s="139"/>
      <c r="J43" s="139"/>
      <c r="K43" s="139"/>
      <c r="L43" s="139"/>
      <c r="M43" s="206"/>
      <c r="N43" s="206"/>
      <c r="O43" s="209"/>
      <c r="P43" s="207"/>
      <c r="Q43" s="207"/>
    </row>
    <row r="44" spans="2:20" ht="79.2" customHeight="1" x14ac:dyDescent="0.2">
      <c r="B44" s="195">
        <f>B43+1</f>
        <v>35</v>
      </c>
      <c r="C44" s="144" t="s">
        <v>151</v>
      </c>
      <c r="D44" s="322" t="s">
        <v>262</v>
      </c>
      <c r="E44" s="322" t="s">
        <v>216</v>
      </c>
      <c r="F44" s="143" t="s">
        <v>224</v>
      </c>
      <c r="G44" s="143" t="s">
        <v>284</v>
      </c>
      <c r="H44" s="139"/>
      <c r="I44" s="139"/>
      <c r="J44" s="139"/>
      <c r="K44" s="139"/>
      <c r="L44" s="139"/>
      <c r="M44" s="206"/>
      <c r="N44" s="194"/>
      <c r="O44" s="209"/>
      <c r="P44" s="207"/>
      <c r="Q44" s="207"/>
    </row>
    <row r="45" spans="2:20" ht="79.2" customHeight="1" x14ac:dyDescent="0.2">
      <c r="B45" s="195">
        <f>B44+1</f>
        <v>36</v>
      </c>
      <c r="C45" s="144" t="s">
        <v>151</v>
      </c>
      <c r="D45" s="143" t="s">
        <v>262</v>
      </c>
      <c r="E45" s="322" t="s">
        <v>216</v>
      </c>
      <c r="F45" s="143" t="s">
        <v>227</v>
      </c>
      <c r="G45" s="143" t="s">
        <v>285</v>
      </c>
      <c r="H45" s="139"/>
      <c r="I45" s="139"/>
      <c r="J45" s="139"/>
      <c r="K45" s="139"/>
      <c r="L45" s="139"/>
      <c r="M45" s="206"/>
      <c r="N45" s="206"/>
      <c r="O45" s="209"/>
      <c r="P45" s="207"/>
      <c r="Q45" s="207"/>
    </row>
    <row r="46" spans="2:20" ht="39.6" customHeight="1" x14ac:dyDescent="0.2">
      <c r="B46" s="195">
        <f>B45+1</f>
        <v>37</v>
      </c>
      <c r="C46" s="144" t="s">
        <v>151</v>
      </c>
      <c r="D46" s="143" t="s">
        <v>265</v>
      </c>
      <c r="E46" s="321" t="s">
        <v>237</v>
      </c>
      <c r="F46" s="143" t="s">
        <v>217</v>
      </c>
      <c r="G46" s="143" t="s">
        <v>252</v>
      </c>
      <c r="H46" s="139"/>
      <c r="I46" s="139"/>
      <c r="J46" s="139"/>
      <c r="K46" s="139"/>
      <c r="L46" s="139"/>
      <c r="M46" s="206"/>
      <c r="N46" s="206"/>
      <c r="O46" s="209"/>
      <c r="P46" s="207"/>
      <c r="Q46" s="207"/>
    </row>
    <row r="47" spans="2:20" ht="39.6" customHeight="1" x14ac:dyDescent="0.2">
      <c r="B47" s="195">
        <f>B46+1</f>
        <v>38</v>
      </c>
      <c r="C47" s="144" t="s">
        <v>151</v>
      </c>
      <c r="D47" s="322" t="s">
        <v>265</v>
      </c>
      <c r="E47" s="322" t="s">
        <v>216</v>
      </c>
      <c r="F47" s="143" t="s">
        <v>218</v>
      </c>
      <c r="G47" s="143" t="s">
        <v>252</v>
      </c>
      <c r="H47" s="139"/>
      <c r="I47" s="139"/>
      <c r="J47" s="139"/>
      <c r="K47" s="139"/>
      <c r="L47" s="139"/>
      <c r="M47" s="206"/>
      <c r="N47" s="206"/>
      <c r="O47" s="209"/>
      <c r="P47" s="207"/>
      <c r="Q47" s="207"/>
    </row>
    <row r="48" spans="2:20" ht="26.4" customHeight="1" x14ac:dyDescent="0.2">
      <c r="B48" s="195">
        <f>B47+1</f>
        <v>39</v>
      </c>
      <c r="C48" s="144" t="s">
        <v>151</v>
      </c>
      <c r="D48" s="143" t="s">
        <v>264</v>
      </c>
      <c r="E48" s="322" t="s">
        <v>216</v>
      </c>
      <c r="F48" s="143" t="s">
        <v>219</v>
      </c>
      <c r="G48" s="143" t="s">
        <v>251</v>
      </c>
      <c r="H48" s="139"/>
      <c r="I48" s="139"/>
      <c r="J48" s="139"/>
      <c r="K48" s="139"/>
      <c r="L48" s="139"/>
      <c r="M48" s="206"/>
      <c r="N48" s="206"/>
      <c r="O48" s="209"/>
      <c r="P48" s="207"/>
      <c r="Q48" s="207"/>
    </row>
    <row r="49" spans="2:17" ht="63.6" customHeight="1" x14ac:dyDescent="0.2">
      <c r="B49" s="195">
        <f>B48+1</f>
        <v>40</v>
      </c>
      <c r="C49" s="144" t="s">
        <v>151</v>
      </c>
      <c r="D49" s="322" t="s">
        <v>264</v>
      </c>
      <c r="E49" s="322" t="s">
        <v>216</v>
      </c>
      <c r="F49" s="143" t="s">
        <v>229</v>
      </c>
      <c r="G49" s="143" t="s">
        <v>281</v>
      </c>
      <c r="H49" s="139"/>
      <c r="I49" s="139"/>
      <c r="J49" s="139"/>
      <c r="K49" s="139"/>
      <c r="L49" s="139"/>
      <c r="M49" s="206"/>
      <c r="N49" s="206"/>
      <c r="O49" s="209"/>
      <c r="P49" s="207"/>
      <c r="Q49" s="207"/>
    </row>
    <row r="50" spans="2:17" ht="66" customHeight="1" x14ac:dyDescent="0.2">
      <c r="B50" s="195">
        <f>B49+1</f>
        <v>41</v>
      </c>
      <c r="C50" s="144" t="s">
        <v>151</v>
      </c>
      <c r="D50" s="143" t="s">
        <v>264</v>
      </c>
      <c r="E50" s="322" t="s">
        <v>216</v>
      </c>
      <c r="F50" s="205" t="s">
        <v>230</v>
      </c>
      <c r="G50" s="143" t="s">
        <v>276</v>
      </c>
      <c r="H50" s="139"/>
      <c r="I50" s="139"/>
      <c r="J50" s="139"/>
      <c r="K50" s="139"/>
      <c r="L50" s="139"/>
      <c r="M50" s="206"/>
      <c r="N50" s="206"/>
      <c r="O50" s="209"/>
      <c r="P50" s="207"/>
      <c r="Q50" s="207"/>
    </row>
    <row r="51" spans="2:17" ht="79.2" customHeight="1" x14ac:dyDescent="0.2">
      <c r="B51" s="195">
        <f>B50+1</f>
        <v>42</v>
      </c>
      <c r="C51" s="144" t="s">
        <v>151</v>
      </c>
      <c r="D51" s="322" t="s">
        <v>264</v>
      </c>
      <c r="E51" s="322" t="s">
        <v>216</v>
      </c>
      <c r="F51" s="205" t="s">
        <v>231</v>
      </c>
      <c r="G51" s="143" t="s">
        <v>277</v>
      </c>
      <c r="H51" s="139"/>
      <c r="I51" s="139"/>
      <c r="J51" s="139"/>
      <c r="K51" s="139"/>
      <c r="L51" s="139"/>
      <c r="M51" s="206"/>
      <c r="N51" s="206"/>
      <c r="O51" s="209"/>
      <c r="P51" s="207"/>
      <c r="Q51" s="207"/>
    </row>
    <row r="52" spans="2:17" ht="14.4" customHeight="1" x14ac:dyDescent="0.2">
      <c r="B52" s="122"/>
      <c r="C52" s="122"/>
      <c r="D52" s="211"/>
      <c r="E52" s="122"/>
      <c r="F52" s="21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207"/>
    </row>
    <row r="53" spans="2:17" ht="12" x14ac:dyDescent="0.2">
      <c r="B53" s="208"/>
      <c r="C53" s="208"/>
      <c r="D53" s="210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139"/>
    </row>
    <row r="54" spans="2:17" ht="12" x14ac:dyDescent="0.2">
      <c r="B54" s="139"/>
      <c r="C54" s="139"/>
      <c r="D54" s="199"/>
      <c r="E54" s="139"/>
      <c r="F54" s="139"/>
      <c r="G54" s="139"/>
      <c r="H54" s="139"/>
      <c r="I54" s="139"/>
      <c r="J54" s="139"/>
      <c r="K54" s="139"/>
      <c r="L54" s="139"/>
      <c r="M54" s="139"/>
      <c r="N54" s="139"/>
      <c r="O54" s="139"/>
      <c r="P54" s="139"/>
      <c r="Q54" s="139"/>
    </row>
    <row r="55" spans="2:17" ht="12" x14ac:dyDescent="0.2">
      <c r="B55" s="139"/>
      <c r="C55" s="139"/>
      <c r="D55" s="199"/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</row>
    <row r="56" spans="2:17" ht="12" x14ac:dyDescent="0.2">
      <c r="B56" s="139"/>
      <c r="C56" s="139"/>
      <c r="D56" s="19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</row>
    <row r="57" spans="2:17" ht="12" x14ac:dyDescent="0.2">
      <c r="B57" s="139"/>
      <c r="C57" s="139"/>
      <c r="D57" s="199"/>
      <c r="E57" s="139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39"/>
    </row>
    <row r="58" spans="2:17" ht="12" x14ac:dyDescent="0.2"/>
    <row r="59" spans="2:17" ht="12" x14ac:dyDescent="0.2"/>
    <row r="60" spans="2:17" ht="12" x14ac:dyDescent="0.2"/>
    <row r="61" spans="2:17" ht="12" x14ac:dyDescent="0.2"/>
    <row r="62" spans="2:17" ht="12" x14ac:dyDescent="0.2"/>
    <row r="63" spans="2:17" ht="12" x14ac:dyDescent="0.2"/>
    <row r="64" spans="2:17" ht="12" x14ac:dyDescent="0.2"/>
    <row r="65" ht="12" x14ac:dyDescent="0.2"/>
    <row r="66" ht="12" x14ac:dyDescent="0.2"/>
    <row r="67" ht="12" x14ac:dyDescent="0.2"/>
    <row r="68" ht="12" x14ac:dyDescent="0.2"/>
    <row r="69" ht="12" x14ac:dyDescent="0.2"/>
    <row r="70" ht="12" x14ac:dyDescent="0.2"/>
    <row r="71" ht="12" x14ac:dyDescent="0.2"/>
    <row r="72" ht="12" x14ac:dyDescent="0.2"/>
    <row r="73" ht="12" x14ac:dyDescent="0.2"/>
    <row r="74" ht="12" x14ac:dyDescent="0.2"/>
    <row r="75" ht="12" x14ac:dyDescent="0.2"/>
    <row r="76" ht="12" x14ac:dyDescent="0.2"/>
    <row r="77" ht="12" x14ac:dyDescent="0.2"/>
    <row r="78" ht="12" x14ac:dyDescent="0.2"/>
    <row r="79" ht="12" x14ac:dyDescent="0.2"/>
    <row r="80" ht="12" x14ac:dyDescent="0.2"/>
    <row r="81" ht="12" x14ac:dyDescent="0.2"/>
    <row r="82" ht="12" x14ac:dyDescent="0.2"/>
    <row r="83" ht="12" x14ac:dyDescent="0.2"/>
    <row r="84" ht="12" x14ac:dyDescent="0.2"/>
    <row r="85" ht="12" x14ac:dyDescent="0.2"/>
    <row r="86" ht="12" x14ac:dyDescent="0.2"/>
    <row r="87" ht="12" x14ac:dyDescent="0.2"/>
    <row r="88" ht="12" x14ac:dyDescent="0.2"/>
    <row r="89" ht="12" x14ac:dyDescent="0.2"/>
    <row r="90" ht="12" x14ac:dyDescent="0.2"/>
    <row r="91" ht="12" x14ac:dyDescent="0.2"/>
    <row r="92" ht="12" x14ac:dyDescent="0.2"/>
    <row r="93" ht="12" x14ac:dyDescent="0.2"/>
    <row r="94" ht="12" x14ac:dyDescent="0.2"/>
    <row r="95" ht="12" x14ac:dyDescent="0.2"/>
    <row r="96" ht="12" x14ac:dyDescent="0.2"/>
    <row r="97" ht="12" x14ac:dyDescent="0.2"/>
    <row r="98" ht="12" x14ac:dyDescent="0.2"/>
    <row r="99" ht="12" x14ac:dyDescent="0.2"/>
    <row r="100" ht="12" x14ac:dyDescent="0.2"/>
    <row r="101" ht="12" x14ac:dyDescent="0.2"/>
    <row r="102" ht="12" x14ac:dyDescent="0.2"/>
    <row r="103" ht="12" x14ac:dyDescent="0.2"/>
    <row r="104" ht="12" x14ac:dyDescent="0.2"/>
    <row r="105" ht="12" x14ac:dyDescent="0.2"/>
    <row r="106" ht="12" x14ac:dyDescent="0.2"/>
    <row r="107" ht="12" x14ac:dyDescent="0.2"/>
  </sheetData>
  <dataConsolidate/>
  <mergeCells count="13">
    <mergeCell ref="B8:B9"/>
    <mergeCell ref="C8:C9"/>
    <mergeCell ref="D8:D9"/>
    <mergeCell ref="E8:E9"/>
    <mergeCell ref="F8:F9"/>
    <mergeCell ref="H8:J8"/>
    <mergeCell ref="K8:M8"/>
    <mergeCell ref="N8:P9"/>
    <mergeCell ref="C6:I6"/>
    <mergeCell ref="K6:P6"/>
    <mergeCell ref="C7:I7"/>
    <mergeCell ref="K7:P7"/>
    <mergeCell ref="G8:G9"/>
  </mergeCells>
  <phoneticPr fontId="3"/>
  <dataValidations count="3">
    <dataValidation type="whole" operator="greaterThanOrEqual" allowBlank="1" showInputMessage="1" showErrorMessage="1" sqref="B10 N10:P40" xr:uid="{00000000-0002-0000-0900-000000000000}">
      <formula1>1</formula1>
    </dataValidation>
    <dataValidation type="list" showInputMessage="1" showErrorMessage="1" sqref="C10:C51" xr:uid="{00000000-0002-0000-0900-000001000000}">
      <formula1>\TOTAL\CheckList</formula1>
    </dataValidation>
    <dataValidation type="list" showInputMessage="1" showErrorMessage="1" sqref="H10:H40 K10:K40" xr:uid="{00000000-0002-0000-0900-000002000000}">
      <formula1>"OK,NG,-"</formula1>
    </dataValidation>
  </dataValidations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&amp;R&amp;"Arial,標準"&amp;9Page.&amp;P&amp;C&amp;"Arial,標準"&amp;6(C) 2019 Kyoritsu Electric Corporation All Rights Reserved.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4769" r:id="rId4" name="Check Box 1">
              <controlPr defaultSize="0" autoFill="0" autoLine="0" autoPict="0" altText="集計対象">
                <anchor moveWithCells="1">
                  <from>
                    <xdr:col>29</xdr:col>
                    <xdr:colOff>144780</xdr:colOff>
                    <xdr:row>0</xdr:row>
                    <xdr:rowOff>45720</xdr:rowOff>
                  </from>
                  <to>
                    <xdr:col>34</xdr:col>
                    <xdr:colOff>121920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035" r:id="rId5" name="Button 267">
              <controlPr defaultSize="0" print="0" autoFill="0" autoPict="0" macro="[0]!AutoFormat_Click" altText="自動調整（全てのシート）">
                <anchor moveWithCells="1" sizeWithCells="1">
                  <from>
                    <xdr:col>17</xdr:col>
                    <xdr:colOff>76200</xdr:colOff>
                    <xdr:row>0</xdr:row>
                    <xdr:rowOff>0</xdr:rowOff>
                  </from>
                  <to>
                    <xdr:col>20</xdr:col>
                    <xdr:colOff>259080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036" r:id="rId6" name="Button 268">
              <controlPr defaultSize="0" print="0" autoFill="0" autoPict="0" macro="[0]!btnNG_Click">
                <anchor moveWithCells="1" sizeWithCells="1">
                  <from>
                    <xdr:col>24</xdr:col>
                    <xdr:colOff>106680</xdr:colOff>
                    <xdr:row>0</xdr:row>
                    <xdr:rowOff>7620</xdr:rowOff>
                  </from>
                  <to>
                    <xdr:col>28</xdr:col>
                    <xdr:colOff>152400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041" r:id="rId7" name="Button 273">
              <controlPr defaultSize="0" print="0" autoFill="0" autoPict="0" macro="[0]!AutoFormat_ThisSheet_Click" altText="自動調整（このシートのみ）">
                <anchor moveWithCells="1" sizeWithCells="1">
                  <from>
                    <xdr:col>20</xdr:col>
                    <xdr:colOff>312420</xdr:colOff>
                    <xdr:row>0</xdr:row>
                    <xdr:rowOff>0</xdr:rowOff>
                  </from>
                  <to>
                    <xdr:col>24</xdr:col>
                    <xdr:colOff>45720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9">
    <tabColor rgb="FFFFC000"/>
  </sheetPr>
  <dimension ref="A1:T38"/>
  <sheetViews>
    <sheetView view="pageBreakPreview" zoomScale="85" zoomScaleNormal="100" zoomScaleSheetLayoutView="85" workbookViewId="0">
      <pane ySplit="2" topLeftCell="A3" activePane="bottomLeft" state="frozen"/>
      <selection activeCell="T49" sqref="T49"/>
      <selection pane="bottomLeft" activeCell="B1" sqref="B1"/>
    </sheetView>
  </sheetViews>
  <sheetFormatPr defaultColWidth="2.21875" defaultRowHeight="13.5" customHeight="1" x14ac:dyDescent="0.2"/>
  <cols>
    <col min="1" max="1" width="0.6640625" style="19" customWidth="1"/>
    <col min="2" max="4" width="2.88671875" style="19" customWidth="1"/>
    <col min="5" max="5" width="5" style="19" bestFit="1" customWidth="1"/>
    <col min="6" max="6" width="6.88671875" style="19" customWidth="1"/>
    <col min="7" max="8" width="34.44140625" style="19" customWidth="1"/>
    <col min="9" max="14" width="8.109375" style="19" customWidth="1"/>
    <col min="15" max="15" width="0.6640625" style="19" customWidth="1"/>
    <col min="16" max="16" width="2.21875" style="19" customWidth="1"/>
    <col min="17" max="17" width="8.21875" style="19" customWidth="1"/>
    <col min="18" max="18" width="0.77734375" style="19" customWidth="1"/>
    <col min="19" max="19" width="13.6640625" style="19" customWidth="1"/>
    <col min="20" max="20" width="20.77734375" style="19" customWidth="1"/>
    <col min="21" max="16384" width="2.21875" style="19"/>
  </cols>
  <sheetData>
    <row r="1" spans="1:20" ht="13.5" customHeight="1" x14ac:dyDescent="0.2">
      <c r="A1" s="20"/>
      <c r="B1" s="153" t="s">
        <v>203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</row>
    <row r="2" spans="1:20" ht="13.5" customHeight="1" x14ac:dyDescent="0.2">
      <c r="A2" s="20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Q2" s="97"/>
    </row>
    <row r="3" spans="1:20" s="23" customFormat="1" ht="13.5" customHeight="1" x14ac:dyDescent="0.2">
      <c r="A3" s="22"/>
      <c r="B3" s="153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153"/>
    </row>
    <row r="4" spans="1:20" s="23" customFormat="1" ht="13.5" customHeight="1" x14ac:dyDescent="0.2">
      <c r="A4" s="22"/>
      <c r="B4" s="173"/>
      <c r="C4" s="173"/>
      <c r="D4" s="173"/>
      <c r="E4" s="173"/>
      <c r="F4" s="173"/>
      <c r="G4" s="174"/>
      <c r="H4" s="174"/>
      <c r="I4" s="173"/>
      <c r="J4" s="173"/>
      <c r="K4" s="173"/>
      <c r="L4" s="173"/>
      <c r="M4" s="173"/>
      <c r="N4" s="173"/>
    </row>
    <row r="5" spans="1:20" s="23" customFormat="1" ht="4.5" customHeight="1" x14ac:dyDescent="0.2">
      <c r="A5" s="22"/>
      <c r="B5" s="162"/>
      <c r="C5" s="162"/>
      <c r="D5" s="162"/>
      <c r="E5" s="162"/>
      <c r="F5" s="162"/>
      <c r="G5" s="175"/>
      <c r="H5" s="175"/>
      <c r="I5" s="27"/>
      <c r="J5" s="27"/>
      <c r="K5" s="27"/>
      <c r="L5" s="27"/>
      <c r="M5" s="27"/>
      <c r="N5" s="27"/>
    </row>
    <row r="6" spans="1:20" ht="24" x14ac:dyDescent="0.15">
      <c r="A6" s="20"/>
      <c r="B6" s="94" t="s">
        <v>123</v>
      </c>
      <c r="C6" s="95"/>
      <c r="D6" s="92"/>
      <c r="E6" s="93" t="s">
        <v>122</v>
      </c>
      <c r="F6" s="138" t="s">
        <v>159</v>
      </c>
      <c r="G6" s="120" t="s">
        <v>16</v>
      </c>
      <c r="H6" s="117" t="s">
        <v>58</v>
      </c>
      <c r="I6" s="119" t="s">
        <v>60</v>
      </c>
      <c r="J6" s="119" t="s">
        <v>145</v>
      </c>
      <c r="K6" s="119" t="s">
        <v>57</v>
      </c>
      <c r="L6" s="118" t="s">
        <v>130</v>
      </c>
      <c r="M6" s="117" t="s">
        <v>51</v>
      </c>
      <c r="N6" s="75" t="s">
        <v>52</v>
      </c>
      <c r="P6" s="176"/>
      <c r="Q6" s="146" t="b">
        <v>0</v>
      </c>
      <c r="S6" s="177" t="s">
        <v>178</v>
      </c>
      <c r="T6" s="139" t="str">
        <f ca="1">RIGHT(CELL("filename",A1),LEN(CELL("filename",A1))-FIND("]",CELL("filename",A1)))</f>
        <v>8.検査記録</v>
      </c>
    </row>
    <row r="7" spans="1:20" ht="27.75" customHeight="1" x14ac:dyDescent="0.2">
      <c r="A7" s="20"/>
      <c r="B7" s="178"/>
      <c r="C7" s="178"/>
      <c r="D7" s="178"/>
      <c r="E7" s="178"/>
      <c r="F7" s="179"/>
      <c r="G7" s="180"/>
      <c r="H7" s="181"/>
      <c r="I7" s="182"/>
      <c r="J7" s="182"/>
      <c r="K7" s="183"/>
      <c r="L7" s="182"/>
      <c r="M7" s="179"/>
      <c r="N7" s="182"/>
      <c r="S7" s="141" t="s">
        <v>166</v>
      </c>
      <c r="T7" s="142" t="s">
        <v>177</v>
      </c>
    </row>
    <row r="8" spans="1:20" ht="27.75" customHeight="1" x14ac:dyDescent="0.2">
      <c r="A8" s="20"/>
      <c r="B8" s="178"/>
      <c r="C8" s="178"/>
      <c r="D8" s="178"/>
      <c r="E8" s="178"/>
      <c r="F8" s="179"/>
      <c r="G8" s="180"/>
      <c r="H8" s="181"/>
      <c r="I8" s="182"/>
      <c r="J8" s="182"/>
      <c r="K8" s="183"/>
      <c r="L8" s="182"/>
      <c r="M8" s="179"/>
      <c r="N8" s="182"/>
      <c r="S8" s="184" t="s">
        <v>163</v>
      </c>
    </row>
    <row r="9" spans="1:20" ht="27.75" customHeight="1" x14ac:dyDescent="0.2">
      <c r="B9" s="178"/>
      <c r="C9" s="178"/>
      <c r="D9" s="178"/>
      <c r="E9" s="178"/>
      <c r="F9" s="179"/>
      <c r="G9" s="180"/>
      <c r="H9" s="181"/>
      <c r="I9" s="182"/>
      <c r="J9" s="182"/>
      <c r="K9" s="183"/>
      <c r="L9" s="182"/>
      <c r="M9" s="185"/>
      <c r="N9" s="182"/>
      <c r="P9" s="96"/>
      <c r="S9" s="184" t="s">
        <v>164</v>
      </c>
    </row>
    <row r="10" spans="1:20" ht="27" customHeight="1" x14ac:dyDescent="0.2">
      <c r="B10" s="178"/>
      <c r="C10" s="178"/>
      <c r="D10" s="178"/>
      <c r="E10" s="178"/>
      <c r="F10" s="179"/>
      <c r="G10" s="180"/>
      <c r="H10" s="181"/>
      <c r="I10" s="182"/>
      <c r="J10" s="182"/>
      <c r="K10" s="183"/>
      <c r="L10" s="182"/>
      <c r="M10" s="185"/>
      <c r="N10" s="182"/>
      <c r="S10" s="184" t="s">
        <v>165</v>
      </c>
    </row>
    <row r="11" spans="1:20" ht="27" customHeight="1" x14ac:dyDescent="0.2">
      <c r="B11" s="178"/>
      <c r="C11" s="178"/>
      <c r="D11" s="178"/>
      <c r="E11" s="178"/>
      <c r="F11" s="179"/>
      <c r="G11" s="180"/>
      <c r="H11" s="181"/>
      <c r="I11" s="182"/>
      <c r="J11" s="182"/>
      <c r="K11" s="183"/>
      <c r="L11" s="182"/>
      <c r="M11" s="185"/>
      <c r="N11" s="182"/>
      <c r="S11" s="184"/>
    </row>
    <row r="12" spans="1:20" ht="27" customHeight="1" x14ac:dyDescent="0.2">
      <c r="B12" s="178"/>
      <c r="C12" s="178"/>
      <c r="D12" s="178"/>
      <c r="E12" s="178"/>
      <c r="F12" s="179"/>
      <c r="G12" s="180"/>
      <c r="H12" s="181"/>
      <c r="I12" s="182"/>
      <c r="J12" s="182"/>
      <c r="K12" s="183"/>
      <c r="L12" s="182"/>
      <c r="M12" s="185"/>
      <c r="N12" s="182"/>
      <c r="P12" s="96"/>
      <c r="S12" s="140"/>
    </row>
    <row r="13" spans="1:20" ht="27" customHeight="1" x14ac:dyDescent="0.2">
      <c r="B13" s="178"/>
      <c r="C13" s="178"/>
      <c r="D13" s="178"/>
      <c r="E13" s="178"/>
      <c r="F13" s="179"/>
      <c r="G13" s="180"/>
      <c r="H13" s="181"/>
      <c r="I13" s="182"/>
      <c r="J13" s="182"/>
      <c r="K13" s="186"/>
      <c r="L13" s="182"/>
      <c r="M13" s="185"/>
      <c r="N13" s="182"/>
      <c r="P13" s="96"/>
      <c r="S13" s="140"/>
    </row>
    <row r="14" spans="1:20" ht="27" customHeight="1" x14ac:dyDescent="0.2">
      <c r="B14" s="178"/>
      <c r="C14" s="178"/>
      <c r="D14" s="178"/>
      <c r="E14" s="178"/>
      <c r="F14" s="179"/>
      <c r="G14" s="180"/>
      <c r="H14" s="181"/>
      <c r="I14" s="182"/>
      <c r="J14" s="182"/>
      <c r="K14" s="186"/>
      <c r="L14" s="182"/>
      <c r="M14" s="185"/>
      <c r="N14" s="182"/>
      <c r="S14" s="139"/>
    </row>
    <row r="15" spans="1:20" ht="27" customHeight="1" x14ac:dyDescent="0.2">
      <c r="B15" s="178"/>
      <c r="C15" s="178"/>
      <c r="D15" s="178"/>
      <c r="E15" s="178"/>
      <c r="F15" s="179"/>
      <c r="G15" s="180"/>
      <c r="H15" s="181"/>
      <c r="I15" s="182"/>
      <c r="J15" s="182"/>
      <c r="K15" s="186"/>
      <c r="L15" s="182"/>
      <c r="M15" s="185"/>
      <c r="N15" s="182"/>
      <c r="S15" s="139"/>
    </row>
    <row r="16" spans="1:20" ht="27" customHeight="1" x14ac:dyDescent="0.2">
      <c r="B16" s="178"/>
      <c r="C16" s="178"/>
      <c r="D16" s="178"/>
      <c r="E16" s="178"/>
      <c r="F16" s="179"/>
      <c r="G16" s="180"/>
      <c r="H16" s="181"/>
      <c r="I16" s="182"/>
      <c r="J16" s="182"/>
      <c r="K16" s="186"/>
      <c r="L16" s="182"/>
      <c r="M16" s="185"/>
      <c r="N16" s="182"/>
      <c r="S16" s="139"/>
    </row>
    <row r="17" spans="1:16" ht="27" customHeight="1" x14ac:dyDescent="0.2">
      <c r="B17" s="178"/>
      <c r="C17" s="178"/>
      <c r="D17" s="178"/>
      <c r="E17" s="178"/>
      <c r="F17" s="179"/>
      <c r="G17" s="180"/>
      <c r="H17" s="181"/>
      <c r="I17" s="182"/>
      <c r="J17" s="182"/>
      <c r="K17" s="186"/>
      <c r="L17" s="182"/>
      <c r="M17" s="185"/>
      <c r="N17" s="182"/>
    </row>
    <row r="18" spans="1:16" ht="27" customHeight="1" x14ac:dyDescent="0.2">
      <c r="B18" s="178"/>
      <c r="C18" s="178"/>
      <c r="D18" s="178"/>
      <c r="E18" s="178"/>
      <c r="F18" s="179"/>
      <c r="G18" s="180"/>
      <c r="H18" s="181"/>
      <c r="I18" s="182"/>
      <c r="J18" s="182"/>
      <c r="K18" s="186"/>
      <c r="L18" s="182"/>
      <c r="M18" s="185"/>
      <c r="N18" s="182"/>
    </row>
    <row r="19" spans="1:16" ht="27" customHeight="1" x14ac:dyDescent="0.2">
      <c r="A19" s="20"/>
      <c r="B19" s="178"/>
      <c r="C19" s="178"/>
      <c r="D19" s="178"/>
      <c r="E19" s="178"/>
      <c r="F19" s="179"/>
      <c r="G19" s="180"/>
      <c r="H19" s="181"/>
      <c r="I19" s="182"/>
      <c r="J19" s="182"/>
      <c r="K19" s="186"/>
      <c r="L19" s="182"/>
      <c r="M19" s="185"/>
      <c r="N19" s="182"/>
    </row>
    <row r="20" spans="1:16" ht="27" customHeight="1" x14ac:dyDescent="0.2">
      <c r="B20" s="178"/>
      <c r="C20" s="178"/>
      <c r="D20" s="178"/>
      <c r="E20" s="178"/>
      <c r="F20" s="179"/>
      <c r="G20" s="180"/>
      <c r="H20" s="181"/>
      <c r="I20" s="182"/>
      <c r="J20" s="187"/>
      <c r="K20" s="188"/>
      <c r="L20" s="182"/>
      <c r="M20" s="189"/>
      <c r="N20" s="182"/>
    </row>
    <row r="21" spans="1:16" ht="27" customHeight="1" x14ac:dyDescent="0.2">
      <c r="A21" s="20"/>
      <c r="B21" s="178"/>
      <c r="C21" s="178"/>
      <c r="D21" s="178"/>
      <c r="E21" s="178"/>
      <c r="F21" s="179"/>
      <c r="G21" s="180"/>
      <c r="H21" s="181"/>
      <c r="I21" s="182"/>
      <c r="J21" s="182"/>
      <c r="K21" s="183"/>
      <c r="L21" s="182"/>
      <c r="M21" s="179"/>
      <c r="N21" s="182"/>
    </row>
    <row r="22" spans="1:16" ht="27" customHeight="1" x14ac:dyDescent="0.2">
      <c r="A22" s="20"/>
      <c r="B22" s="178"/>
      <c r="C22" s="178"/>
      <c r="D22" s="178"/>
      <c r="E22" s="178"/>
      <c r="F22" s="179"/>
      <c r="G22" s="180"/>
      <c r="H22" s="181"/>
      <c r="I22" s="182"/>
      <c r="J22" s="182"/>
      <c r="K22" s="183"/>
      <c r="L22" s="182"/>
      <c r="M22" s="179"/>
      <c r="N22" s="182"/>
    </row>
    <row r="23" spans="1:16" ht="27" customHeight="1" x14ac:dyDescent="0.2">
      <c r="B23" s="178"/>
      <c r="C23" s="178"/>
      <c r="D23" s="178"/>
      <c r="E23" s="178"/>
      <c r="F23" s="179"/>
      <c r="G23" s="180"/>
      <c r="H23" s="181"/>
      <c r="I23" s="182"/>
      <c r="J23" s="182"/>
      <c r="K23" s="183"/>
      <c r="L23" s="182"/>
      <c r="M23" s="179"/>
      <c r="N23" s="182"/>
    </row>
    <row r="24" spans="1:16" ht="27" customHeight="1" x14ac:dyDescent="0.2">
      <c r="B24" s="178"/>
      <c r="C24" s="178"/>
      <c r="D24" s="178"/>
      <c r="E24" s="178"/>
      <c r="F24" s="179"/>
      <c r="G24" s="180"/>
      <c r="H24" s="181"/>
      <c r="I24" s="182"/>
      <c r="J24" s="182"/>
      <c r="K24" s="183"/>
      <c r="L24" s="182"/>
      <c r="M24" s="179"/>
      <c r="N24" s="182"/>
    </row>
    <row r="25" spans="1:16" ht="27" customHeight="1" x14ac:dyDescent="0.2">
      <c r="B25" s="178"/>
      <c r="C25" s="178"/>
      <c r="D25" s="178"/>
      <c r="E25" s="178"/>
      <c r="F25" s="179"/>
      <c r="G25" s="180"/>
      <c r="H25" s="181"/>
      <c r="I25" s="182"/>
      <c r="J25" s="182"/>
      <c r="K25" s="183"/>
      <c r="L25" s="182"/>
      <c r="M25" s="185"/>
      <c r="N25" s="182"/>
      <c r="P25" s="96"/>
    </row>
    <row r="26" spans="1:16" ht="27" customHeight="1" x14ac:dyDescent="0.2">
      <c r="B26" s="178"/>
      <c r="C26" s="178"/>
      <c r="D26" s="178"/>
      <c r="E26" s="178"/>
      <c r="F26" s="179"/>
      <c r="G26" s="180"/>
      <c r="H26" s="181"/>
      <c r="I26" s="182"/>
      <c r="J26" s="182"/>
      <c r="K26" s="183"/>
      <c r="L26" s="182"/>
      <c r="M26" s="185"/>
      <c r="N26" s="182"/>
    </row>
    <row r="27" spans="1:16" ht="27" customHeight="1" x14ac:dyDescent="0.2">
      <c r="B27" s="178"/>
      <c r="C27" s="178"/>
      <c r="D27" s="178"/>
      <c r="E27" s="178"/>
      <c r="F27" s="179"/>
      <c r="G27" s="180"/>
      <c r="H27" s="181"/>
      <c r="I27" s="182"/>
      <c r="J27" s="182"/>
      <c r="K27" s="183"/>
      <c r="L27" s="182"/>
      <c r="M27" s="185"/>
      <c r="N27" s="182"/>
    </row>
    <row r="28" spans="1:16" ht="27" customHeight="1" x14ac:dyDescent="0.2">
      <c r="B28" s="178"/>
      <c r="C28" s="178"/>
      <c r="D28" s="178"/>
      <c r="E28" s="178"/>
      <c r="F28" s="179"/>
      <c r="G28" s="180"/>
      <c r="H28" s="181"/>
      <c r="I28" s="182"/>
      <c r="J28" s="182"/>
      <c r="K28" s="183"/>
      <c r="L28" s="182"/>
      <c r="M28" s="185"/>
      <c r="N28" s="182"/>
      <c r="P28" s="96"/>
    </row>
    <row r="29" spans="1:16" ht="27" customHeight="1" x14ac:dyDescent="0.2">
      <c r="B29" s="178"/>
      <c r="C29" s="178"/>
      <c r="D29" s="178"/>
      <c r="E29" s="178"/>
      <c r="F29" s="179"/>
      <c r="G29" s="180"/>
      <c r="H29" s="181"/>
      <c r="I29" s="182"/>
      <c r="J29" s="182"/>
      <c r="K29" s="186"/>
      <c r="L29" s="182"/>
      <c r="M29" s="185"/>
      <c r="N29" s="182"/>
      <c r="P29" s="96"/>
    </row>
    <row r="30" spans="1:16" ht="27" customHeight="1" x14ac:dyDescent="0.2">
      <c r="B30" s="178"/>
      <c r="C30" s="178"/>
      <c r="D30" s="178"/>
      <c r="E30" s="178"/>
      <c r="F30" s="179"/>
      <c r="G30" s="180"/>
      <c r="H30" s="181"/>
      <c r="I30" s="182"/>
      <c r="J30" s="182"/>
      <c r="K30" s="186"/>
      <c r="L30" s="182"/>
      <c r="M30" s="185"/>
      <c r="N30" s="182"/>
    </row>
    <row r="31" spans="1:16" ht="27" customHeight="1" x14ac:dyDescent="0.2">
      <c r="B31" s="178"/>
      <c r="C31" s="178"/>
      <c r="D31" s="178"/>
      <c r="E31" s="178"/>
      <c r="F31" s="179"/>
      <c r="G31" s="180"/>
      <c r="H31" s="181"/>
      <c r="I31" s="182"/>
      <c r="J31" s="182"/>
      <c r="K31" s="186"/>
      <c r="L31" s="182"/>
      <c r="M31" s="185"/>
      <c r="N31" s="182"/>
    </row>
    <row r="32" spans="1:16" ht="27" customHeight="1" x14ac:dyDescent="0.2">
      <c r="B32" s="178"/>
      <c r="C32" s="178"/>
      <c r="D32" s="178"/>
      <c r="E32" s="178"/>
      <c r="F32" s="179"/>
      <c r="G32" s="180"/>
      <c r="H32" s="181"/>
      <c r="I32" s="182"/>
      <c r="J32" s="182"/>
      <c r="K32" s="186"/>
      <c r="L32" s="182"/>
      <c r="M32" s="185"/>
      <c r="N32" s="182"/>
    </row>
    <row r="33" spans="2:14" ht="27" customHeight="1" x14ac:dyDescent="0.2">
      <c r="B33" s="178"/>
      <c r="C33" s="178"/>
      <c r="D33" s="178"/>
      <c r="E33" s="178"/>
      <c r="F33" s="179"/>
      <c r="G33" s="180"/>
      <c r="H33" s="181"/>
      <c r="I33" s="182"/>
      <c r="J33" s="182"/>
      <c r="K33" s="186"/>
      <c r="L33" s="182"/>
      <c r="M33" s="185"/>
      <c r="N33" s="182"/>
    </row>
    <row r="34" spans="2:14" ht="27" customHeight="1" x14ac:dyDescent="0.2">
      <c r="B34" s="178"/>
      <c r="C34" s="178"/>
      <c r="D34" s="178"/>
      <c r="E34" s="178"/>
      <c r="F34" s="179"/>
      <c r="G34" s="180"/>
      <c r="H34" s="181"/>
      <c r="I34" s="182"/>
      <c r="J34" s="182"/>
      <c r="K34" s="186"/>
      <c r="L34" s="182"/>
      <c r="M34" s="185"/>
      <c r="N34" s="182"/>
    </row>
    <row r="35" spans="2:14" ht="27" customHeight="1" x14ac:dyDescent="0.2">
      <c r="B35" s="178"/>
      <c r="C35" s="178"/>
      <c r="D35" s="178"/>
      <c r="E35" s="178"/>
      <c r="F35" s="179"/>
      <c r="G35" s="180"/>
      <c r="H35" s="181"/>
      <c r="I35" s="182"/>
      <c r="J35" s="182"/>
      <c r="K35" s="186"/>
      <c r="L35" s="182"/>
      <c r="M35" s="185"/>
      <c r="N35" s="182"/>
    </row>
    <row r="36" spans="2:14" ht="27" customHeight="1" x14ac:dyDescent="0.2">
      <c r="B36" s="178"/>
      <c r="C36" s="178"/>
      <c r="D36" s="178"/>
      <c r="E36" s="178"/>
      <c r="F36" s="179"/>
      <c r="G36" s="180"/>
      <c r="H36" s="181"/>
      <c r="I36" s="182"/>
      <c r="J36" s="187"/>
      <c r="K36" s="188"/>
      <c r="L36" s="182"/>
      <c r="M36" s="189"/>
      <c r="N36" s="182"/>
    </row>
    <row r="37" spans="2:14" ht="27" customHeight="1" x14ac:dyDescent="0.2">
      <c r="B37" s="178"/>
      <c r="C37" s="178"/>
      <c r="D37" s="178"/>
      <c r="E37" s="178"/>
      <c r="F37" s="179"/>
      <c r="G37" s="180"/>
      <c r="H37" s="181"/>
      <c r="I37" s="182"/>
      <c r="J37" s="182"/>
      <c r="K37" s="183"/>
      <c r="L37" s="182"/>
      <c r="M37" s="179"/>
      <c r="N37" s="182"/>
    </row>
    <row r="38" spans="2:14" ht="27" customHeight="1" x14ac:dyDescent="0.2">
      <c r="B38" s="178"/>
      <c r="C38" s="178"/>
      <c r="D38" s="178"/>
      <c r="E38" s="178"/>
      <c r="F38" s="179"/>
      <c r="G38" s="180"/>
      <c r="H38" s="181"/>
      <c r="I38" s="182"/>
      <c r="J38" s="182"/>
      <c r="K38" s="183"/>
      <c r="L38" s="182"/>
      <c r="M38" s="179"/>
      <c r="N38" s="182"/>
    </row>
  </sheetData>
  <dataConsolidate/>
  <phoneticPr fontId="3"/>
  <conditionalFormatting sqref="B8:N21">
    <cfRule type="expression" dxfId="5" priority="5">
      <formula>$Q$6</formula>
    </cfRule>
  </conditionalFormatting>
  <conditionalFormatting sqref="B7:N7">
    <cfRule type="expression" dxfId="4" priority="6">
      <formula>$Q$6</formula>
    </cfRule>
  </conditionalFormatting>
  <conditionalFormatting sqref="B24:N37">
    <cfRule type="expression" dxfId="3" priority="3">
      <formula>$Q$6</formula>
    </cfRule>
  </conditionalFormatting>
  <conditionalFormatting sqref="B23:N23">
    <cfRule type="expression" dxfId="2" priority="4">
      <formula>$Q$6</formula>
    </cfRule>
  </conditionalFormatting>
  <conditionalFormatting sqref="B22:N22">
    <cfRule type="expression" dxfId="1" priority="2">
      <formula>$Q$6</formula>
    </cfRule>
  </conditionalFormatting>
  <conditionalFormatting sqref="B38:N38">
    <cfRule type="expression" dxfId="0" priority="1">
      <formula>$Q$6</formula>
    </cfRule>
  </conditionalFormatting>
  <dataValidations count="1">
    <dataValidation type="list" showInputMessage="1" showErrorMessage="1" sqref="F7:F38" xr:uid="{00000000-0002-0000-0A00-000000000000}">
      <formula1>\NG\List</formula1>
    </dataValidation>
  </dataValidations>
  <printOptions horizontalCentered="1"/>
  <pageMargins left="0.19685039370078741" right="0.19685039370078741" top="0.78740157480314965" bottom="0.51181102362204722" header="0.78740157480314965" footer="0.31496062992125984"/>
  <pageSetup paperSize="9" orientation="landscape" r:id="rId1"/>
  <headerFooter alignWithMargins="0">
    <oddFooter>&amp;R&amp;"Arial,標準"&amp;9Page.&amp;P&amp;C&amp;"Arial,標準"&amp;6(C) 2019 Kyoritsu Electric Corporation All Rights Reserved.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5253" r:id="rId4" name="Button 3013">
              <controlPr defaultSize="0" print="0" autoFill="0" autoPict="0" macro="[0]!Refresh_Click" altText="転記">
                <anchor moveWithCells="1">
                  <from>
                    <xdr:col>18</xdr:col>
                    <xdr:colOff>7620</xdr:colOff>
                    <xdr:row>0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286" r:id="rId5" name="Check Box 3046">
              <controlPr defaultSize="0" autoFill="0" autoLine="0" autoPict="0">
                <anchor moveWithCells="1">
                  <from>
                    <xdr:col>15</xdr:col>
                    <xdr:colOff>106680</xdr:colOff>
                    <xdr:row>5</xdr:row>
                    <xdr:rowOff>7620</xdr:rowOff>
                  </from>
                  <to>
                    <xdr:col>16</xdr:col>
                    <xdr:colOff>480060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305" r:id="rId6" name="Button 3065">
              <controlPr defaultSize="0" print="0" autoFill="0" autoPict="0" macro="[0]!btnBack_Click" altText="転記">
                <anchor moveWithCells="1">
                  <from>
                    <xdr:col>16</xdr:col>
                    <xdr:colOff>7620</xdr:colOff>
                    <xdr:row>0</xdr:row>
                    <xdr:rowOff>0</xdr:rowOff>
                  </from>
                  <to>
                    <xdr:col>16</xdr:col>
                    <xdr:colOff>617220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311" r:id="rId7" name="Button 3071">
              <controlPr defaultSize="0" print="0" autoFill="0" autoPict="0" macro="[0]!AutoFormat_KensaKiroku_Click">
                <anchor moveWithCells="1" sizeWithCells="1">
                  <from>
                    <xdr:col>19</xdr:col>
                    <xdr:colOff>152400</xdr:colOff>
                    <xdr:row>0</xdr:row>
                    <xdr:rowOff>0</xdr:rowOff>
                  </from>
                  <to>
                    <xdr:col>19</xdr:col>
                    <xdr:colOff>838200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rgb="FF00FF00"/>
  </sheetPr>
  <dimension ref="B1:Q18"/>
  <sheetViews>
    <sheetView view="pageBreakPreview" zoomScaleNormal="100" zoomScaleSheetLayoutView="100" workbookViewId="0">
      <selection activeCell="K13" sqref="K13"/>
    </sheetView>
  </sheetViews>
  <sheetFormatPr defaultColWidth="9" defaultRowHeight="12" x14ac:dyDescent="0.2"/>
  <cols>
    <col min="1" max="1" width="4.33203125" style="153" customWidth="1"/>
    <col min="2" max="2" width="4" style="153" customWidth="1"/>
    <col min="3" max="3" width="16.109375" style="153" customWidth="1"/>
    <col min="4" max="4" width="7.77734375" style="153" customWidth="1"/>
    <col min="5" max="5" width="11.6640625" style="153" bestFit="1" customWidth="1"/>
    <col min="6" max="6" width="9.6640625" style="153" bestFit="1" customWidth="1"/>
    <col min="7" max="7" width="6.88671875" style="153" customWidth="1"/>
    <col min="8" max="8" width="8.44140625" style="153" customWidth="1"/>
    <col min="9" max="9" width="5.33203125" style="153" customWidth="1"/>
    <col min="10" max="12" width="9" style="153"/>
    <col min="13" max="13" width="8" style="153" customWidth="1"/>
    <col min="14" max="14" width="9" style="153"/>
    <col min="15" max="15" width="13.88671875" style="153" customWidth="1"/>
    <col min="16" max="18" width="9" style="153"/>
    <col min="19" max="19" width="8" style="153" customWidth="1"/>
    <col min="20" max="16384" width="9" style="153"/>
  </cols>
  <sheetData>
    <row r="1" spans="2:17" ht="17.25" customHeight="1" x14ac:dyDescent="0.2">
      <c r="N1" s="162" t="s">
        <v>112</v>
      </c>
      <c r="O1" s="163" t="str">
        <f>\DOC\最終担当者</f>
        <v>-</v>
      </c>
    </row>
    <row r="2" spans="2:17" x14ac:dyDescent="0.2">
      <c r="B2" s="164" t="s">
        <v>105</v>
      </c>
      <c r="C2" s="164"/>
      <c r="N2" s="165" t="s">
        <v>113</v>
      </c>
      <c r="O2" s="166">
        <f>\DOC\最終発行日</f>
        <v>43466</v>
      </c>
    </row>
    <row r="4" spans="2:17" x14ac:dyDescent="0.2">
      <c r="C4" s="167" t="s">
        <v>108</v>
      </c>
      <c r="D4" s="275" t="str">
        <f>\DOC\契約先名</f>
        <v>○○○○株式会社</v>
      </c>
      <c r="E4" s="275"/>
      <c r="F4" s="275"/>
      <c r="G4" s="275"/>
      <c r="H4" s="275"/>
      <c r="J4" s="226" t="s">
        <v>111</v>
      </c>
      <c r="K4" s="229">
        <f ca="1">IFERROR(SUM(\TOTAL\CheckArea),"-")</f>
        <v>0</v>
      </c>
      <c r="L4" s="226" t="s">
        <v>125</v>
      </c>
      <c r="M4" s="229">
        <v>0</v>
      </c>
      <c r="N4" s="226" t="s">
        <v>126</v>
      </c>
      <c r="O4" s="276" t="str">
        <f ca="1">IFERROR(M4/K4,"-")</f>
        <v>-</v>
      </c>
    </row>
    <row r="5" spans="2:17" x14ac:dyDescent="0.2">
      <c r="C5" s="167" t="s">
        <v>109</v>
      </c>
      <c r="D5" s="275" t="str">
        <f>\DOC\需要先名</f>
        <v>同上</v>
      </c>
      <c r="E5" s="275"/>
      <c r="F5" s="275"/>
      <c r="G5" s="275"/>
      <c r="H5" s="275"/>
      <c r="J5" s="226"/>
      <c r="K5" s="229"/>
      <c r="L5" s="226"/>
      <c r="M5" s="229"/>
      <c r="N5" s="226"/>
      <c r="O5" s="276"/>
    </row>
    <row r="6" spans="2:17" x14ac:dyDescent="0.2">
      <c r="C6" s="167" t="s">
        <v>5</v>
      </c>
      <c r="D6" s="275" t="str">
        <f>\DOC\システム名</f>
        <v>○○○○システム</v>
      </c>
      <c r="E6" s="275"/>
      <c r="F6" s="275"/>
      <c r="G6" s="275"/>
      <c r="H6" s="275"/>
      <c r="L6" s="226" t="s">
        <v>102</v>
      </c>
      <c r="M6" s="229">
        <f ca="1">IFERROR(SUM(\TOTAL\BugArea),"-")</f>
        <v>0</v>
      </c>
      <c r="N6" s="226" t="s">
        <v>103</v>
      </c>
      <c r="O6" s="276" t="str">
        <f ca="1">IFERROR(M6/K4,"-")</f>
        <v>-</v>
      </c>
      <c r="Q6" s="153" t="s">
        <v>204</v>
      </c>
    </row>
    <row r="7" spans="2:17" x14ac:dyDescent="0.2">
      <c r="C7" s="167" t="s">
        <v>110</v>
      </c>
      <c r="D7" s="275" t="str">
        <f>\DOC\照合NO</f>
        <v>C7xxxxxxx</v>
      </c>
      <c r="E7" s="275"/>
      <c r="F7" s="275"/>
      <c r="G7" s="275"/>
      <c r="H7" s="275"/>
      <c r="L7" s="226"/>
      <c r="M7" s="229"/>
      <c r="N7" s="226"/>
      <c r="O7" s="276"/>
    </row>
    <row r="9" spans="2:17" x14ac:dyDescent="0.2">
      <c r="C9" s="168" t="s">
        <v>197</v>
      </c>
      <c r="D9" s="168" t="s">
        <v>167</v>
      </c>
      <c r="E9" s="168" t="s">
        <v>100</v>
      </c>
      <c r="F9" s="168" t="s">
        <v>101</v>
      </c>
      <c r="G9" s="168" t="s">
        <v>102</v>
      </c>
      <c r="H9" s="168" t="s">
        <v>103</v>
      </c>
    </row>
    <row r="10" spans="2:17" x14ac:dyDescent="0.2">
      <c r="C10" s="169" t="s">
        <v>172</v>
      </c>
      <c r="D10" s="169" t="s">
        <v>151</v>
      </c>
      <c r="E10" s="170">
        <v>0</v>
      </c>
      <c r="F10" s="171">
        <v>0</v>
      </c>
      <c r="G10" s="170">
        <v>0</v>
      </c>
      <c r="H10" s="172" t="str">
        <f t="shared" ref="H10:H11" si="0">IFERROR(G10/E10,"-")</f>
        <v>-</v>
      </c>
      <c r="J10" s="90" t="s">
        <v>143</v>
      </c>
    </row>
    <row r="11" spans="2:17" x14ac:dyDescent="0.2">
      <c r="C11" s="169" t="s">
        <v>171</v>
      </c>
      <c r="D11" s="169" t="s">
        <v>152</v>
      </c>
      <c r="E11" s="170">
        <v>0</v>
      </c>
      <c r="F11" s="171">
        <v>0</v>
      </c>
      <c r="G11" s="170">
        <v>0</v>
      </c>
      <c r="H11" s="172" t="str">
        <f t="shared" si="0"/>
        <v>-</v>
      </c>
      <c r="J11" s="90" t="s">
        <v>144</v>
      </c>
    </row>
    <row r="12" spans="2:17" x14ac:dyDescent="0.2">
      <c r="C12" s="169" t="s">
        <v>173</v>
      </c>
      <c r="D12" s="169" t="s">
        <v>155</v>
      </c>
      <c r="E12" s="170">
        <v>0</v>
      </c>
      <c r="F12" s="171">
        <v>0</v>
      </c>
      <c r="G12" s="170">
        <v>0</v>
      </c>
      <c r="H12" s="172" t="str">
        <f t="shared" ref="H12:H15" si="1">IFERROR(G12/E12,"-")</f>
        <v>-</v>
      </c>
      <c r="J12" s="90" t="s">
        <v>106</v>
      </c>
    </row>
    <row r="13" spans="2:17" x14ac:dyDescent="0.2">
      <c r="C13" s="169" t="s">
        <v>168</v>
      </c>
      <c r="D13" s="169" t="s">
        <v>153</v>
      </c>
      <c r="E13" s="170">
        <v>0</v>
      </c>
      <c r="F13" s="171">
        <v>0</v>
      </c>
      <c r="G13" s="170">
        <v>0</v>
      </c>
      <c r="H13" s="172" t="str">
        <f t="shared" si="1"/>
        <v>-</v>
      </c>
      <c r="J13" s="90" t="s">
        <v>174</v>
      </c>
    </row>
    <row r="14" spans="2:17" x14ac:dyDescent="0.2">
      <c r="C14" s="169" t="s">
        <v>169</v>
      </c>
      <c r="D14" s="169" t="s">
        <v>154</v>
      </c>
      <c r="E14" s="170">
        <v>0</v>
      </c>
      <c r="F14" s="171">
        <v>0</v>
      </c>
      <c r="G14" s="170">
        <v>0</v>
      </c>
      <c r="H14" s="172" t="str">
        <f t="shared" si="1"/>
        <v>-</v>
      </c>
      <c r="J14" s="90" t="s">
        <v>175</v>
      </c>
    </row>
    <row r="15" spans="2:17" x14ac:dyDescent="0.2">
      <c r="C15" s="169" t="s">
        <v>170</v>
      </c>
      <c r="D15" s="169" t="s">
        <v>156</v>
      </c>
      <c r="E15" s="170">
        <v>0</v>
      </c>
      <c r="F15" s="171">
        <v>0</v>
      </c>
      <c r="G15" s="170">
        <v>0</v>
      </c>
      <c r="H15" s="172" t="str">
        <f t="shared" si="1"/>
        <v>-</v>
      </c>
      <c r="J15" s="90" t="s">
        <v>176</v>
      </c>
    </row>
    <row r="16" spans="2:17" x14ac:dyDescent="0.2">
      <c r="C16" s="170"/>
      <c r="D16" s="170"/>
      <c r="E16" s="170"/>
      <c r="F16" s="171"/>
      <c r="G16" s="170"/>
      <c r="H16" s="172"/>
      <c r="J16" s="90"/>
    </row>
    <row r="17" spans="3:10" x14ac:dyDescent="0.2">
      <c r="C17" s="170"/>
      <c r="D17" s="170"/>
      <c r="E17" s="170"/>
      <c r="F17" s="171"/>
      <c r="G17" s="170"/>
      <c r="H17" s="172"/>
      <c r="J17" s="90"/>
    </row>
    <row r="18" spans="3:10" x14ac:dyDescent="0.2">
      <c r="C18" s="170"/>
      <c r="D18" s="170"/>
      <c r="E18" s="170"/>
      <c r="F18" s="171"/>
      <c r="G18" s="170"/>
      <c r="H18" s="172"/>
      <c r="J18" s="90"/>
    </row>
  </sheetData>
  <mergeCells count="14">
    <mergeCell ref="L6:L7"/>
    <mergeCell ref="M6:M7"/>
    <mergeCell ref="N6:N7"/>
    <mergeCell ref="O6:O7"/>
    <mergeCell ref="K4:K5"/>
    <mergeCell ref="L4:L5"/>
    <mergeCell ref="M4:M5"/>
    <mergeCell ref="N4:N5"/>
    <mergeCell ref="O4:O5"/>
    <mergeCell ref="J4:J5"/>
    <mergeCell ref="D4:H4"/>
    <mergeCell ref="D5:H5"/>
    <mergeCell ref="D6:H6"/>
    <mergeCell ref="D7:H7"/>
  </mergeCells>
  <phoneticPr fontId="3"/>
  <pageMargins left="0.70866141732283472" right="0.70866141732283472" top="0.74803149606299213" bottom="0.74803149606299213" header="0.31496062992125984" footer="0.31496062992125984"/>
  <pageSetup paperSize="9" scale="93" orientation="landscape" r:id="rId1"/>
  <headerFooter>
    <oddFooter>&amp;R&amp;"Arial,標準"&amp;9Page.&amp;P&amp;C&amp;"Arial,標準"&amp;6(C) 2019 Kyoritsu Electric Corporation All Rights Reserved.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4833" r:id="rId4" name="Button 1">
              <controlPr defaultSize="0" print="0" autoFill="0" autoPict="0" macro="[0]!Total_Click">
                <anchor moveWithCells="1">
                  <from>
                    <xdr:col>15</xdr:col>
                    <xdr:colOff>594360</xdr:colOff>
                    <xdr:row>1</xdr:row>
                    <xdr:rowOff>22860</xdr:rowOff>
                  </from>
                  <to>
                    <xdr:col>18</xdr:col>
                    <xdr:colOff>7620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0">
    <tabColor rgb="FFFF0000"/>
  </sheetPr>
  <dimension ref="A1:BK79"/>
  <sheetViews>
    <sheetView zoomScaleNormal="100" workbookViewId="0">
      <selection activeCell="B19" sqref="B19:P19"/>
    </sheetView>
  </sheetViews>
  <sheetFormatPr defaultColWidth="2.44140625" defaultRowHeight="13.5" customHeight="1" x14ac:dyDescent="0.2"/>
  <cols>
    <col min="1" max="1" width="0.6640625" style="19" customWidth="1"/>
    <col min="2" max="62" width="2.44140625" style="19" customWidth="1"/>
    <col min="63" max="63" width="1.33203125" style="19" customWidth="1"/>
    <col min="64" max="64" width="0.6640625" style="19" customWidth="1"/>
    <col min="65" max="16384" width="2.44140625" style="19"/>
  </cols>
  <sheetData>
    <row r="1" spans="1:63" s="29" customFormat="1" ht="13.5" customHeight="1" x14ac:dyDescent="0.2">
      <c r="A1" s="20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s="29" customFormat="1" ht="13.5" customHeight="1" x14ac:dyDescent="0.2">
      <c r="A2" s="30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s="23" customFormat="1" ht="13.5" customHeight="1" x14ac:dyDescent="0.2">
      <c r="A3" s="22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 s="23" customFormat="1" ht="13.5" customHeight="1" x14ac:dyDescent="0.2">
      <c r="A4" s="22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 s="23" customFormat="1" ht="4.5" customHeight="1" x14ac:dyDescent="0.2">
      <c r="A5" s="22"/>
      <c r="B5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/>
    </row>
    <row r="6" spans="1:63" s="23" customFormat="1" ht="13.5" customHeight="1" x14ac:dyDescent="0.2">
      <c r="A6" s="22"/>
      <c r="B6" s="277" t="s">
        <v>18</v>
      </c>
      <c r="C6" s="278"/>
      <c r="D6" s="279"/>
      <c r="E6" s="283" t="s">
        <v>30</v>
      </c>
      <c r="F6" s="284"/>
      <c r="G6" s="284"/>
      <c r="H6" s="284"/>
      <c r="I6" s="284"/>
      <c r="J6" s="285"/>
      <c r="K6" s="55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s="23" customFormat="1" ht="13.5" customHeight="1" x14ac:dyDescent="0.2">
      <c r="A7" s="22"/>
      <c r="B7" s="280"/>
      <c r="C7" s="281"/>
      <c r="D7" s="282"/>
      <c r="E7" s="286"/>
      <c r="F7" s="287"/>
      <c r="G7" s="287"/>
      <c r="H7" s="287"/>
      <c r="I7" s="287"/>
      <c r="J7" s="288"/>
      <c r="K7" s="26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8"/>
    </row>
    <row r="8" spans="1:63" s="23" customFormat="1" ht="13.5" customHeight="1" x14ac:dyDescent="0.2">
      <c r="A8" s="22"/>
      <c r="B8" s="24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s="23" customFormat="1" ht="13.5" customHeight="1" x14ac:dyDescent="0.2">
      <c r="A9" s="22"/>
      <c r="B9" s="24"/>
      <c r="C9" s="22"/>
      <c r="D9" s="22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s="23" customFormat="1" ht="13.5" customHeight="1" x14ac:dyDescent="0.2">
      <c r="A10" s="22"/>
      <c r="B10" s="24"/>
      <c r="C10" s="22"/>
      <c r="D10" s="22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5"/>
    </row>
    <row r="11" spans="1:63" s="23" customFormat="1" ht="13.5" customHeight="1" x14ac:dyDescent="0.2">
      <c r="A11" s="22"/>
      <c r="B11" s="24"/>
      <c r="C11" s="22"/>
      <c r="D11" s="22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5"/>
    </row>
    <row r="12" spans="1:63" s="23" customFormat="1" ht="13.5" customHeight="1" x14ac:dyDescent="0.2">
      <c r="A12" s="22"/>
      <c r="B12" s="24"/>
      <c r="C12" s="22"/>
      <c r="D12" s="2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5"/>
    </row>
    <row r="13" spans="1:63" s="23" customFormat="1" ht="13.5" customHeight="1" x14ac:dyDescent="0.2">
      <c r="A13" s="22"/>
      <c r="B13" s="24"/>
      <c r="C13" s="22"/>
      <c r="D13" s="22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5"/>
    </row>
    <row r="14" spans="1:63" s="23" customFormat="1" ht="13.5" customHeight="1" x14ac:dyDescent="0.2">
      <c r="A14" s="22"/>
      <c r="B14" s="24"/>
      <c r="C14" s="22"/>
      <c r="D14" s="22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5"/>
    </row>
    <row r="15" spans="1:63" s="23" customFormat="1" ht="13.5" customHeight="1" x14ac:dyDescent="0.2">
      <c r="A15" s="22"/>
      <c r="B15" s="24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5"/>
    </row>
    <row r="16" spans="1:63" s="23" customFormat="1" ht="13.5" customHeight="1" x14ac:dyDescent="0.2">
      <c r="A16" s="22"/>
      <c r="B16" s="24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5"/>
    </row>
    <row r="17" spans="1:63" s="23" customFormat="1" ht="13.5" customHeight="1" x14ac:dyDescent="0.2">
      <c r="A17" s="22"/>
      <c r="B17" s="24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5"/>
    </row>
    <row r="18" spans="1:63" s="23" customFormat="1" ht="13.5" customHeight="1" x14ac:dyDescent="0.2">
      <c r="A18" s="22"/>
      <c r="B18" s="24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5"/>
    </row>
    <row r="19" spans="1:63" s="23" customFormat="1" ht="13.5" customHeight="1" x14ac:dyDescent="0.2">
      <c r="A19" s="22"/>
      <c r="B19" s="24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5"/>
    </row>
    <row r="20" spans="1:63" s="23" customFormat="1" ht="13.5" customHeight="1" x14ac:dyDescent="0.2">
      <c r="A20" s="22"/>
      <c r="B20" s="24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5"/>
    </row>
    <row r="21" spans="1:63" s="23" customFormat="1" ht="13.5" customHeight="1" x14ac:dyDescent="0.2">
      <c r="A21" s="22"/>
      <c r="B21" s="24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5"/>
    </row>
    <row r="22" spans="1:63" s="23" customFormat="1" ht="13.5" customHeight="1" x14ac:dyDescent="0.2">
      <c r="A22" s="22"/>
      <c r="B22" s="24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5"/>
    </row>
    <row r="23" spans="1:63" s="23" customFormat="1" ht="13.5" customHeight="1" x14ac:dyDescent="0.2">
      <c r="A23" s="22"/>
      <c r="B23" s="24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5"/>
    </row>
    <row r="24" spans="1:63" s="23" customFormat="1" ht="13.5" customHeight="1" x14ac:dyDescent="0.2">
      <c r="A24" s="22"/>
      <c r="B24" s="24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5"/>
    </row>
    <row r="25" spans="1:63" s="23" customFormat="1" ht="13.5" customHeight="1" x14ac:dyDescent="0.2">
      <c r="A25" s="22"/>
      <c r="B25" s="24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5"/>
    </row>
    <row r="26" spans="1:63" s="23" customFormat="1" ht="13.5" customHeight="1" x14ac:dyDescent="0.2">
      <c r="A26" s="22"/>
      <c r="B26" s="24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5"/>
    </row>
    <row r="27" spans="1:63" s="23" customFormat="1" ht="13.5" customHeight="1" x14ac:dyDescent="0.2">
      <c r="A27" s="22"/>
      <c r="B27" s="2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5"/>
    </row>
    <row r="28" spans="1:63" s="23" customFormat="1" ht="13.5" customHeight="1" x14ac:dyDescent="0.2">
      <c r="A28" s="22"/>
      <c r="B28" s="24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2"/>
      <c r="BK28" s="25"/>
    </row>
    <row r="29" spans="1:63" s="23" customFormat="1" ht="13.5" customHeight="1" x14ac:dyDescent="0.2">
      <c r="A29" s="22"/>
      <c r="B29" s="24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2"/>
      <c r="BK29" s="25"/>
    </row>
    <row r="30" spans="1:63" s="23" customFormat="1" ht="13.5" customHeight="1" x14ac:dyDescent="0.2">
      <c r="A30" s="22"/>
      <c r="B30" s="24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2"/>
      <c r="BK30" s="25"/>
    </row>
    <row r="31" spans="1:63" s="23" customFormat="1" ht="13.5" customHeight="1" x14ac:dyDescent="0.2">
      <c r="A31" s="22"/>
      <c r="B31" s="24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2"/>
      <c r="BK31" s="25"/>
    </row>
    <row r="32" spans="1:63" s="23" customFormat="1" ht="13.5" customHeight="1" x14ac:dyDescent="0.2">
      <c r="A32" s="22"/>
      <c r="B32" s="24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5"/>
    </row>
    <row r="33" spans="1:63" s="23" customFormat="1" ht="13.5" customHeight="1" x14ac:dyDescent="0.2">
      <c r="A33" s="22"/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5"/>
    </row>
    <row r="34" spans="1:63" s="23" customFormat="1" ht="13.5" customHeight="1" x14ac:dyDescent="0.2">
      <c r="A34" s="22"/>
      <c r="B34" s="24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5"/>
    </row>
    <row r="35" spans="1:63" s="23" customFormat="1" ht="13.5" customHeight="1" x14ac:dyDescent="0.2">
      <c r="A35" s="22"/>
      <c r="B35" s="2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5"/>
    </row>
    <row r="36" spans="1:63" s="23" customFormat="1" ht="13.5" customHeight="1" x14ac:dyDescent="0.2">
      <c r="A36" s="22"/>
      <c r="B36" s="24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5"/>
    </row>
    <row r="37" spans="1:63" s="23" customFormat="1" ht="13.5" customHeight="1" x14ac:dyDescent="0.2">
      <c r="A37" s="22"/>
      <c r="B37" s="24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1:63" s="23" customFormat="1" ht="13.5" customHeight="1" x14ac:dyDescent="0.2">
      <c r="A38" s="22"/>
      <c r="B38" s="2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1:63" s="23" customFormat="1" ht="13.5" customHeight="1" x14ac:dyDescent="0.2">
      <c r="A39" s="22"/>
      <c r="B39" s="24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1:63" s="23" customFormat="1" ht="13.5" customHeight="1" x14ac:dyDescent="0.2">
      <c r="A40" s="22"/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  <row r="41" spans="1:63" s="23" customFormat="1" ht="13.5" customHeight="1" x14ac:dyDescent="0.2">
      <c r="A41" s="22"/>
    </row>
    <row r="42" spans="1:63" ht="13.5" customHeight="1" x14ac:dyDescent="0.2">
      <c r="A42" s="20"/>
    </row>
    <row r="43" spans="1:63" ht="13.5" customHeight="1" x14ac:dyDescent="0.2">
      <c r="A43" s="20"/>
    </row>
    <row r="44" spans="1:63" ht="13.5" customHeight="1" x14ac:dyDescent="0.2">
      <c r="A44" s="20"/>
    </row>
    <row r="45" spans="1:63" ht="13.5" customHeight="1" x14ac:dyDescent="0.2">
      <c r="A45" s="20"/>
    </row>
    <row r="46" spans="1:63" ht="13.5" customHeight="1" x14ac:dyDescent="0.2">
      <c r="A46" s="20"/>
    </row>
    <row r="47" spans="1:63" ht="13.5" customHeight="1" x14ac:dyDescent="0.2">
      <c r="A47" s="20"/>
    </row>
    <row r="48" spans="1:63" ht="13.5" customHeight="1" x14ac:dyDescent="0.2">
      <c r="A48" s="20"/>
    </row>
    <row r="49" spans="1:1" ht="13.5" customHeight="1" x14ac:dyDescent="0.2">
      <c r="A49" s="20"/>
    </row>
    <row r="50" spans="1:1" ht="13.5" customHeight="1" x14ac:dyDescent="0.2">
      <c r="A50" s="20"/>
    </row>
    <row r="51" spans="1:1" ht="13.5" customHeight="1" x14ac:dyDescent="0.2">
      <c r="A51" s="20"/>
    </row>
    <row r="52" spans="1:1" ht="13.5" customHeight="1" x14ac:dyDescent="0.2">
      <c r="A52" s="20"/>
    </row>
    <row r="53" spans="1:1" ht="13.5" customHeight="1" x14ac:dyDescent="0.2">
      <c r="A53" s="20"/>
    </row>
    <row r="54" spans="1:1" ht="13.5" customHeight="1" x14ac:dyDescent="0.2">
      <c r="A54" s="20"/>
    </row>
    <row r="55" spans="1:1" ht="13.5" customHeight="1" x14ac:dyDescent="0.2">
      <c r="A55" s="20"/>
    </row>
    <row r="56" spans="1:1" ht="13.5" customHeight="1" x14ac:dyDescent="0.2">
      <c r="A56" s="20"/>
    </row>
    <row r="57" spans="1:1" ht="13.5" customHeight="1" x14ac:dyDescent="0.2">
      <c r="A57" s="20"/>
    </row>
    <row r="58" spans="1:1" ht="13.5" customHeight="1" x14ac:dyDescent="0.2">
      <c r="A58" s="20"/>
    </row>
    <row r="59" spans="1:1" ht="13.5" customHeight="1" x14ac:dyDescent="0.2">
      <c r="A59" s="20"/>
    </row>
    <row r="60" spans="1:1" ht="13.5" customHeight="1" x14ac:dyDescent="0.2">
      <c r="A60" s="20"/>
    </row>
    <row r="61" spans="1:1" ht="13.5" customHeight="1" x14ac:dyDescent="0.2">
      <c r="A61" s="20"/>
    </row>
    <row r="62" spans="1:1" ht="13.5" customHeight="1" x14ac:dyDescent="0.2">
      <c r="A62" s="20"/>
    </row>
    <row r="63" spans="1:1" ht="13.5" customHeight="1" x14ac:dyDescent="0.2">
      <c r="A63" s="20"/>
    </row>
    <row r="64" spans="1:1" ht="13.5" customHeight="1" x14ac:dyDescent="0.2">
      <c r="A64" s="20"/>
    </row>
    <row r="65" spans="1:1" ht="13.5" customHeight="1" x14ac:dyDescent="0.2">
      <c r="A65" s="20"/>
    </row>
    <row r="66" spans="1:1" ht="13.5" customHeight="1" x14ac:dyDescent="0.2">
      <c r="A66" s="20"/>
    </row>
    <row r="67" spans="1:1" ht="13.5" customHeight="1" x14ac:dyDescent="0.2">
      <c r="A67" s="20"/>
    </row>
    <row r="68" spans="1:1" ht="13.5" customHeight="1" x14ac:dyDescent="0.2">
      <c r="A68" s="20"/>
    </row>
    <row r="69" spans="1:1" ht="13.5" customHeight="1" x14ac:dyDescent="0.2">
      <c r="A69" s="20"/>
    </row>
    <row r="70" spans="1:1" ht="13.5" customHeight="1" x14ac:dyDescent="0.2">
      <c r="A70" s="20"/>
    </row>
    <row r="71" spans="1:1" ht="13.5" customHeight="1" x14ac:dyDescent="0.2">
      <c r="A71" s="20"/>
    </row>
    <row r="72" spans="1:1" ht="13.5" customHeight="1" x14ac:dyDescent="0.2">
      <c r="A72" s="20"/>
    </row>
    <row r="73" spans="1:1" ht="13.5" customHeight="1" x14ac:dyDescent="0.2">
      <c r="A73" s="20"/>
    </row>
    <row r="74" spans="1:1" ht="13.5" customHeight="1" x14ac:dyDescent="0.2">
      <c r="A74" s="20"/>
    </row>
    <row r="75" spans="1:1" ht="13.5" customHeight="1" x14ac:dyDescent="0.2">
      <c r="A75" s="20"/>
    </row>
    <row r="76" spans="1:1" ht="13.5" customHeight="1" x14ac:dyDescent="0.2">
      <c r="A76" s="20"/>
    </row>
    <row r="77" spans="1:1" ht="13.5" customHeight="1" x14ac:dyDescent="0.2">
      <c r="A77" s="20"/>
    </row>
    <row r="78" spans="1:1" ht="13.5" customHeight="1" x14ac:dyDescent="0.2">
      <c r="A78" s="20"/>
    </row>
    <row r="79" spans="1:1" ht="13.5" customHeight="1" x14ac:dyDescent="0.2">
      <c r="A79" s="20"/>
    </row>
  </sheetData>
  <dataConsolidate/>
  <mergeCells count="2">
    <mergeCell ref="B6:D7"/>
    <mergeCell ref="E6:J7"/>
  </mergeCells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horizontalDpi="1200" verticalDpi="1200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>
    <tabColor rgb="FFFF0000"/>
  </sheetPr>
  <dimension ref="A1:BK66"/>
  <sheetViews>
    <sheetView zoomScaleNormal="100" workbookViewId="0">
      <selection activeCell="B19" sqref="B19:P19"/>
    </sheetView>
  </sheetViews>
  <sheetFormatPr defaultColWidth="2.44140625" defaultRowHeight="13.5" customHeight="1" x14ac:dyDescent="0.2"/>
  <cols>
    <col min="1" max="1" width="0.6640625" style="19" customWidth="1"/>
    <col min="2" max="62" width="2.44140625" style="19" customWidth="1"/>
    <col min="63" max="63" width="1.33203125" style="19" customWidth="1"/>
    <col min="64" max="64" width="0.6640625" style="19" customWidth="1"/>
    <col min="65" max="16384" width="2.44140625" style="19"/>
  </cols>
  <sheetData>
    <row r="1" spans="1:63" s="29" customFormat="1" ht="13.5" customHeight="1" x14ac:dyDescent="0.2">
      <c r="A1" s="20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s="29" customFormat="1" ht="13.5" customHeight="1" x14ac:dyDescent="0.2">
      <c r="A2" s="30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s="23" customFormat="1" ht="13.5" customHeight="1" x14ac:dyDescent="0.2">
      <c r="A3" s="22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 s="23" customFormat="1" ht="13.5" customHeight="1" x14ac:dyDescent="0.2">
      <c r="A4" s="22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 s="23" customFormat="1" ht="4.5" customHeight="1" x14ac:dyDescent="0.2">
      <c r="A5" s="22"/>
      <c r="B5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/>
    </row>
    <row r="6" spans="1:63" s="23" customFormat="1" ht="13.5" customHeight="1" x14ac:dyDescent="0.2">
      <c r="A6" s="22"/>
      <c r="B6" s="292" t="s">
        <v>32</v>
      </c>
      <c r="C6" s="294"/>
      <c r="D6" s="298" t="s">
        <v>20</v>
      </c>
      <c r="E6" s="299"/>
      <c r="F6" s="299"/>
      <c r="G6" s="299"/>
      <c r="H6" s="299"/>
      <c r="I6" s="299"/>
      <c r="J6" s="299"/>
      <c r="K6" s="299"/>
      <c r="L6" s="299"/>
      <c r="M6" s="299"/>
      <c r="N6" s="299"/>
      <c r="O6" s="299"/>
      <c r="P6" s="299"/>
      <c r="Q6" s="300"/>
      <c r="R6" s="292" t="s">
        <v>29</v>
      </c>
      <c r="S6" s="293"/>
      <c r="T6" s="293"/>
      <c r="U6" s="293"/>
      <c r="V6" s="293"/>
      <c r="W6" s="293"/>
      <c r="X6" s="293"/>
      <c r="Y6" s="293"/>
      <c r="Z6" s="293"/>
      <c r="AA6" s="293"/>
      <c r="AB6" s="294"/>
      <c r="AC6" s="292" t="s">
        <v>19</v>
      </c>
      <c r="AD6" s="293"/>
      <c r="AE6" s="293"/>
      <c r="AF6" s="294"/>
      <c r="AG6" s="289" t="s">
        <v>28</v>
      </c>
      <c r="AH6" s="290"/>
      <c r="AI6" s="304" t="s">
        <v>34</v>
      </c>
      <c r="AJ6" s="294"/>
      <c r="AK6" s="289" t="s">
        <v>26</v>
      </c>
      <c r="AL6" s="290"/>
      <c r="AM6" s="290"/>
      <c r="AN6" s="290"/>
      <c r="AO6" s="290"/>
      <c r="AP6" s="290"/>
      <c r="AQ6" s="292" t="s">
        <v>33</v>
      </c>
      <c r="AR6" s="293"/>
      <c r="AS6" s="293"/>
      <c r="AT6" s="293"/>
      <c r="AU6" s="293"/>
      <c r="AV6" s="294"/>
      <c r="AW6" s="289" t="s">
        <v>31</v>
      </c>
      <c r="AX6" s="290"/>
      <c r="AY6" s="289" t="s">
        <v>25</v>
      </c>
      <c r="AZ6" s="290"/>
      <c r="BA6" s="292" t="s">
        <v>21</v>
      </c>
      <c r="BB6" s="293"/>
      <c r="BC6" s="293"/>
      <c r="BD6" s="293"/>
      <c r="BE6" s="293"/>
      <c r="BF6" s="293"/>
      <c r="BG6" s="293"/>
      <c r="BH6" s="293"/>
      <c r="BI6" s="293"/>
      <c r="BJ6" s="293"/>
      <c r="BK6" s="294"/>
    </row>
    <row r="7" spans="1:63" s="23" customFormat="1" ht="13.5" customHeight="1" x14ac:dyDescent="0.2">
      <c r="A7" s="22"/>
      <c r="B7" s="295"/>
      <c r="C7" s="297"/>
      <c r="D7" s="301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3"/>
      <c r="R7" s="295"/>
      <c r="S7" s="296"/>
      <c r="T7" s="296"/>
      <c r="U7" s="296"/>
      <c r="V7" s="296"/>
      <c r="W7" s="296"/>
      <c r="X7" s="296"/>
      <c r="Y7" s="296"/>
      <c r="Z7" s="296"/>
      <c r="AA7" s="296"/>
      <c r="AB7" s="297"/>
      <c r="AC7" s="295"/>
      <c r="AD7" s="296"/>
      <c r="AE7" s="296"/>
      <c r="AF7" s="297"/>
      <c r="AG7" s="291"/>
      <c r="AH7" s="291"/>
      <c r="AI7" s="295"/>
      <c r="AJ7" s="297"/>
      <c r="AK7" s="291"/>
      <c r="AL7" s="291"/>
      <c r="AM7" s="291"/>
      <c r="AN7" s="291"/>
      <c r="AO7" s="291"/>
      <c r="AP7" s="291"/>
      <c r="AQ7" s="295"/>
      <c r="AR7" s="296"/>
      <c r="AS7" s="296"/>
      <c r="AT7" s="296"/>
      <c r="AU7" s="296"/>
      <c r="AV7" s="297"/>
      <c r="AW7" s="291"/>
      <c r="AX7" s="291"/>
      <c r="AY7" s="291"/>
      <c r="AZ7" s="291"/>
      <c r="BA7" s="295"/>
      <c r="BB7" s="296"/>
      <c r="BC7" s="296"/>
      <c r="BD7" s="296"/>
      <c r="BE7" s="296"/>
      <c r="BF7" s="296"/>
      <c r="BG7" s="296"/>
      <c r="BH7" s="296"/>
      <c r="BI7" s="296"/>
      <c r="BJ7" s="296"/>
      <c r="BK7" s="297"/>
    </row>
    <row r="8" spans="1:63" s="23" customFormat="1" ht="13.5" customHeight="1" x14ac:dyDescent="0.2">
      <c r="A8" s="22"/>
      <c r="B8" s="64">
        <v>1</v>
      </c>
      <c r="C8" s="62"/>
      <c r="D8" s="58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9"/>
      <c r="R8" s="67"/>
      <c r="S8" s="56"/>
      <c r="T8" s="56"/>
      <c r="U8" s="56"/>
      <c r="V8" s="56"/>
      <c r="W8" s="56"/>
      <c r="X8" s="56"/>
      <c r="Y8" s="56"/>
      <c r="Z8" s="56"/>
      <c r="AA8" s="56"/>
      <c r="AB8" s="57"/>
      <c r="AC8" s="60"/>
      <c r="AD8" s="61"/>
      <c r="AE8" s="61"/>
      <c r="AF8" s="61"/>
      <c r="AG8" s="64"/>
      <c r="AH8" s="65"/>
      <c r="AI8" s="64"/>
      <c r="AJ8" s="65"/>
      <c r="AK8" s="60"/>
      <c r="AL8" s="61"/>
      <c r="AM8" s="61"/>
      <c r="AN8" s="61"/>
      <c r="AO8" s="61"/>
      <c r="AP8" s="62"/>
      <c r="AQ8" s="60"/>
      <c r="AR8" s="61"/>
      <c r="AS8" s="61"/>
      <c r="AT8" s="61"/>
      <c r="AU8" s="61"/>
      <c r="AV8" s="62"/>
      <c r="AW8" s="64"/>
      <c r="AX8" s="65"/>
      <c r="AY8" s="64"/>
      <c r="AZ8" s="65"/>
      <c r="BA8" s="58"/>
      <c r="BB8" s="56"/>
      <c r="BC8" s="56"/>
      <c r="BD8" s="56"/>
      <c r="BE8" s="56"/>
      <c r="BF8" s="56"/>
      <c r="BG8" s="56"/>
      <c r="BH8" s="56"/>
      <c r="BI8" s="56"/>
      <c r="BJ8" s="56"/>
      <c r="BK8" s="57"/>
    </row>
    <row r="9" spans="1:63" s="23" customFormat="1" ht="13.5" customHeight="1" x14ac:dyDescent="0.2">
      <c r="A9" s="22"/>
      <c r="B9" s="64">
        <v>2</v>
      </c>
      <c r="C9" s="62"/>
      <c r="D9" s="58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9"/>
      <c r="R9" s="60"/>
      <c r="S9" s="61"/>
      <c r="T9" s="61"/>
      <c r="U9" s="61"/>
      <c r="V9" s="61"/>
      <c r="W9" s="61"/>
      <c r="X9" s="61"/>
      <c r="Y9" s="61"/>
      <c r="Z9" s="61"/>
      <c r="AA9" s="61"/>
      <c r="AB9" s="66"/>
      <c r="AC9" s="68"/>
      <c r="AD9" s="69"/>
      <c r="AE9" s="69"/>
      <c r="AF9" s="69"/>
      <c r="AG9" s="64"/>
      <c r="AH9" s="65"/>
      <c r="AI9" s="64"/>
      <c r="AJ9" s="65"/>
      <c r="AK9" s="60"/>
      <c r="AL9" s="61"/>
      <c r="AM9" s="61"/>
      <c r="AN9" s="61"/>
      <c r="AO9" s="61"/>
      <c r="AP9" s="62"/>
      <c r="AQ9" s="60"/>
      <c r="AR9" s="61"/>
      <c r="AS9" s="61"/>
      <c r="AT9" s="61"/>
      <c r="AU9" s="61"/>
      <c r="AV9" s="62"/>
      <c r="AW9" s="64"/>
      <c r="AX9" s="65"/>
      <c r="AY9" s="64"/>
      <c r="AZ9" s="65"/>
      <c r="BA9" s="58"/>
      <c r="BB9" s="56"/>
      <c r="BC9" s="56"/>
      <c r="BD9" s="56"/>
      <c r="BE9" s="56"/>
      <c r="BF9" s="56"/>
      <c r="BG9" s="56"/>
      <c r="BH9" s="56"/>
      <c r="BI9" s="56"/>
      <c r="BJ9" s="56"/>
      <c r="BK9" s="57"/>
    </row>
    <row r="10" spans="1:63" s="23" customFormat="1" ht="13.5" customHeight="1" x14ac:dyDescent="0.2">
      <c r="A10" s="22"/>
      <c r="B10" s="64">
        <v>3</v>
      </c>
      <c r="C10" s="62"/>
      <c r="D10" s="58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9"/>
      <c r="R10" s="60"/>
      <c r="S10" s="61"/>
      <c r="T10" s="61"/>
      <c r="U10" s="61"/>
      <c r="V10" s="61"/>
      <c r="W10" s="61"/>
      <c r="X10" s="61"/>
      <c r="Y10" s="61"/>
      <c r="Z10" s="61"/>
      <c r="AA10" s="61"/>
      <c r="AB10" s="63"/>
      <c r="AC10" s="68"/>
      <c r="AD10" s="69"/>
      <c r="AE10" s="69"/>
      <c r="AF10" s="69"/>
      <c r="AG10" s="64"/>
      <c r="AH10" s="65"/>
      <c r="AI10" s="64"/>
      <c r="AJ10" s="65"/>
      <c r="AK10" s="60"/>
      <c r="AL10" s="61"/>
      <c r="AM10" s="61"/>
      <c r="AN10" s="61"/>
      <c r="AO10" s="61"/>
      <c r="AP10" s="62"/>
      <c r="AQ10" s="60"/>
      <c r="AR10" s="61"/>
      <c r="AS10" s="61"/>
      <c r="AT10" s="61"/>
      <c r="AU10" s="61"/>
      <c r="AV10" s="62"/>
      <c r="AW10" s="64"/>
      <c r="AX10" s="65"/>
      <c r="AY10" s="64"/>
      <c r="AZ10" s="65"/>
      <c r="BA10" s="58"/>
      <c r="BB10" s="56"/>
      <c r="BC10" s="56"/>
      <c r="BD10" s="56"/>
      <c r="BE10" s="56"/>
      <c r="BF10" s="56"/>
      <c r="BG10" s="56"/>
      <c r="BH10" s="56"/>
      <c r="BI10" s="56"/>
      <c r="BJ10" s="56"/>
      <c r="BK10" s="57"/>
    </row>
    <row r="11" spans="1:63" s="23" customFormat="1" ht="13.5" customHeight="1" x14ac:dyDescent="0.2">
      <c r="A11" s="22"/>
      <c r="B11" s="64">
        <v>4</v>
      </c>
      <c r="C11" s="62"/>
      <c r="D11" s="58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9"/>
      <c r="R11" s="67"/>
      <c r="S11" s="61"/>
      <c r="T11" s="61"/>
      <c r="U11" s="61"/>
      <c r="V11" s="61"/>
      <c r="W11" s="61"/>
      <c r="X11" s="61"/>
      <c r="Y11" s="61"/>
      <c r="Z11" s="61"/>
      <c r="AA11" s="61"/>
      <c r="AB11" s="66"/>
      <c r="AC11" s="68"/>
      <c r="AD11" s="69"/>
      <c r="AE11" s="69"/>
      <c r="AF11" s="69"/>
      <c r="AG11" s="64"/>
      <c r="AH11" s="65"/>
      <c r="AI11" s="64"/>
      <c r="AJ11" s="65"/>
      <c r="AK11" s="60"/>
      <c r="AL11" s="61"/>
      <c r="AM11" s="61"/>
      <c r="AN11" s="61"/>
      <c r="AO11" s="61"/>
      <c r="AP11" s="62"/>
      <c r="AQ11" s="60"/>
      <c r="AR11" s="61"/>
      <c r="AS11" s="61"/>
      <c r="AT11" s="61"/>
      <c r="AU11" s="61"/>
      <c r="AV11" s="62"/>
      <c r="AW11" s="64"/>
      <c r="AX11" s="65"/>
      <c r="AY11" s="64"/>
      <c r="AZ11" s="65"/>
      <c r="BA11" s="58"/>
      <c r="BB11" s="56"/>
      <c r="BC11" s="56"/>
      <c r="BD11" s="56"/>
      <c r="BE11" s="56"/>
      <c r="BF11" s="56"/>
      <c r="BG11" s="56"/>
      <c r="BH11" s="56"/>
      <c r="BI11" s="56"/>
      <c r="BJ11" s="56"/>
      <c r="BK11" s="57"/>
    </row>
    <row r="12" spans="1:63" s="23" customFormat="1" ht="13.5" customHeight="1" x14ac:dyDescent="0.2">
      <c r="A12" s="22"/>
      <c r="B12" s="64">
        <v>5</v>
      </c>
      <c r="C12" s="62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9"/>
      <c r="R12" s="60"/>
      <c r="S12" s="61"/>
      <c r="T12" s="61"/>
      <c r="U12" s="61"/>
      <c r="V12" s="61"/>
      <c r="W12" s="61"/>
      <c r="X12" s="61"/>
      <c r="Y12" s="61"/>
      <c r="Z12" s="61"/>
      <c r="AA12" s="61"/>
      <c r="AB12" s="66"/>
      <c r="AC12" s="60"/>
      <c r="AD12" s="61"/>
      <c r="AE12" s="61"/>
      <c r="AF12" s="61"/>
      <c r="AG12" s="64"/>
      <c r="AH12" s="65"/>
      <c r="AI12" s="64"/>
      <c r="AJ12" s="65"/>
      <c r="AK12" s="60"/>
      <c r="AL12" s="61"/>
      <c r="AM12" s="61"/>
      <c r="AN12" s="61"/>
      <c r="AO12" s="61"/>
      <c r="AP12" s="62"/>
      <c r="AQ12" s="60"/>
      <c r="AR12" s="61"/>
      <c r="AS12" s="61"/>
      <c r="AT12" s="61"/>
      <c r="AU12" s="61"/>
      <c r="AV12" s="62"/>
      <c r="AW12" s="64"/>
      <c r="AX12" s="65"/>
      <c r="AY12" s="64"/>
      <c r="AZ12" s="65"/>
      <c r="BA12" s="58"/>
      <c r="BB12" s="56"/>
      <c r="BC12" s="56"/>
      <c r="BD12" s="56"/>
      <c r="BE12" s="56"/>
      <c r="BF12" s="56"/>
      <c r="BG12" s="56"/>
      <c r="BH12" s="56"/>
      <c r="BI12" s="56"/>
      <c r="BJ12" s="56"/>
      <c r="BK12" s="57"/>
    </row>
    <row r="13" spans="1:63" s="23" customFormat="1" ht="13.5" customHeight="1" x14ac:dyDescent="0.2">
      <c r="A13" s="22"/>
      <c r="B13" s="5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22"/>
      <c r="AK13" s="22"/>
      <c r="AL13" s="22"/>
      <c r="AM13" s="22"/>
      <c r="AN13" s="22"/>
      <c r="AO13" s="22"/>
      <c r="AP13" s="44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5"/>
    </row>
    <row r="14" spans="1:63" s="23" customFormat="1" ht="13.5" customHeight="1" x14ac:dyDescent="0.2">
      <c r="A14" s="22"/>
      <c r="B14" s="5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22"/>
      <c r="AK14" s="22"/>
      <c r="AL14" s="22"/>
      <c r="AM14" s="22"/>
      <c r="AN14" s="22"/>
      <c r="AO14" s="22"/>
      <c r="AP14" s="44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5"/>
    </row>
    <row r="15" spans="1:63" s="23" customFormat="1" ht="13.5" customHeight="1" x14ac:dyDescent="0.2">
      <c r="A15" s="22"/>
      <c r="B15" s="24"/>
      <c r="C15" s="22"/>
      <c r="E15" s="53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5"/>
    </row>
    <row r="16" spans="1:63" s="23" customFormat="1" ht="13.5" customHeight="1" x14ac:dyDescent="0.2">
      <c r="A16" s="22"/>
      <c r="B16" s="24"/>
      <c r="C16" s="44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44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5"/>
    </row>
    <row r="17" spans="1:63" s="23" customFormat="1" ht="13.5" customHeight="1" x14ac:dyDescent="0.2">
      <c r="A17" s="22"/>
      <c r="B17" s="24"/>
      <c r="C17" s="22"/>
      <c r="D17" s="53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44"/>
      <c r="AO17" s="22"/>
      <c r="AP17" s="22"/>
      <c r="AQ17" s="22"/>
      <c r="AR17" s="22"/>
      <c r="AS17" s="22"/>
      <c r="AT17" s="22"/>
      <c r="AU17" s="22"/>
      <c r="AV17" s="22"/>
      <c r="AW17" s="22"/>
      <c r="AX17" s="44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5"/>
    </row>
    <row r="18" spans="1:63" s="23" customFormat="1" ht="13.5" customHeight="1" x14ac:dyDescent="0.2">
      <c r="A18" s="22"/>
      <c r="B18" s="24"/>
      <c r="C18" s="22"/>
      <c r="D18" s="44"/>
      <c r="E18" s="44"/>
      <c r="F18" s="22"/>
      <c r="G18" s="22"/>
      <c r="H18" s="22"/>
      <c r="I18" s="44"/>
      <c r="J18" s="44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44"/>
      <c r="AO18" s="22"/>
      <c r="AP18" s="22"/>
      <c r="AQ18" s="22"/>
      <c r="AR18" s="22"/>
      <c r="AS18" s="22"/>
      <c r="AT18" s="22"/>
      <c r="AU18" s="22"/>
      <c r="AV18" s="22"/>
      <c r="AW18" s="22"/>
      <c r="AX18" s="44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5"/>
    </row>
    <row r="19" spans="1:63" s="23" customFormat="1" ht="13.5" customHeight="1" x14ac:dyDescent="0.2">
      <c r="A19" s="22"/>
      <c r="B19" s="24"/>
      <c r="C19" s="22"/>
      <c r="D19" s="44"/>
      <c r="E19" s="22"/>
      <c r="F19" s="22"/>
      <c r="G19" s="44"/>
      <c r="H19" s="22"/>
      <c r="I19" s="22"/>
      <c r="J19" s="22"/>
      <c r="K19" s="22"/>
      <c r="L19" s="22"/>
      <c r="M19" s="44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44"/>
      <c r="AO19" s="22"/>
      <c r="AP19" s="22"/>
      <c r="AQ19" s="22"/>
      <c r="AR19" s="22"/>
      <c r="AS19" s="22"/>
      <c r="AT19" s="22"/>
      <c r="AU19" s="22"/>
      <c r="AV19" s="22"/>
      <c r="AW19" s="22"/>
      <c r="AX19" s="44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5"/>
    </row>
    <row r="20" spans="1:63" s="23" customFormat="1" ht="13.5" customHeight="1" x14ac:dyDescent="0.2">
      <c r="A20" s="22"/>
      <c r="B20" s="24"/>
      <c r="C20" s="22"/>
      <c r="D20" s="44"/>
      <c r="E20" s="22"/>
      <c r="F20" s="22"/>
      <c r="G20" s="44"/>
      <c r="H20" s="22"/>
      <c r="I20" s="22"/>
      <c r="J20" s="22"/>
      <c r="K20" s="22"/>
      <c r="L20" s="22"/>
      <c r="M20" s="44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44"/>
      <c r="AO20" s="22"/>
      <c r="AP20" s="22"/>
      <c r="AQ20" s="22"/>
      <c r="AR20" s="22"/>
      <c r="AS20" s="22"/>
      <c r="AT20" s="22"/>
      <c r="AU20" s="22"/>
      <c r="AV20" s="22"/>
      <c r="AW20" s="22"/>
      <c r="AX20" s="44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5"/>
    </row>
    <row r="21" spans="1:63" s="23" customFormat="1" ht="13.5" customHeight="1" x14ac:dyDescent="0.2">
      <c r="A21" s="22"/>
      <c r="B21" s="24"/>
      <c r="C21" s="22"/>
      <c r="D21" s="44"/>
      <c r="E21" s="44"/>
      <c r="F21" s="22"/>
      <c r="G21" s="44"/>
      <c r="H21" s="44"/>
      <c r="I21" s="22"/>
      <c r="J21" s="22"/>
      <c r="K21" s="22"/>
      <c r="L21" s="44"/>
      <c r="M21" s="44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44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5"/>
    </row>
    <row r="22" spans="1:63" s="23" customFormat="1" ht="13.5" customHeight="1" x14ac:dyDescent="0.2">
      <c r="A22" s="22"/>
      <c r="B22" s="24"/>
      <c r="C22" s="22"/>
      <c r="D22" s="44"/>
      <c r="E22" s="22"/>
      <c r="F22" s="44"/>
      <c r="G22" s="22"/>
      <c r="H22" s="22"/>
      <c r="I22" s="22"/>
      <c r="J22" s="22"/>
      <c r="K22" s="44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44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5"/>
    </row>
    <row r="23" spans="1:63" s="23" customFormat="1" ht="13.5" customHeight="1" x14ac:dyDescent="0.2">
      <c r="A23" s="22"/>
      <c r="B23" s="24"/>
      <c r="C23" s="22"/>
      <c r="D23" s="44"/>
      <c r="E23" s="22"/>
      <c r="F23" s="22"/>
      <c r="G23" s="22"/>
      <c r="H23" s="22"/>
      <c r="I23" s="22"/>
      <c r="J23" s="22"/>
      <c r="K23" s="44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44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5"/>
    </row>
    <row r="24" spans="1:63" s="23" customFormat="1" ht="13.5" customHeight="1" x14ac:dyDescent="0.2">
      <c r="A24" s="22"/>
      <c r="B24" s="24"/>
      <c r="C24" s="22"/>
      <c r="D24" s="22"/>
      <c r="E24" s="22"/>
      <c r="F24" s="44"/>
      <c r="G24" s="22"/>
      <c r="H24" s="22"/>
      <c r="I24" s="22"/>
      <c r="J24" s="22"/>
      <c r="K24" s="44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5"/>
    </row>
    <row r="25" spans="1:63" s="23" customFormat="1" ht="13.5" customHeight="1" x14ac:dyDescent="0.2">
      <c r="A25" s="22"/>
      <c r="B25" s="24"/>
      <c r="C25" s="22"/>
      <c r="D25" s="44"/>
      <c r="E25" s="22"/>
      <c r="F25" s="44"/>
      <c r="G25" s="22"/>
      <c r="H25" s="22"/>
      <c r="I25" s="22"/>
      <c r="J25" s="22"/>
      <c r="K25" s="44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5"/>
    </row>
    <row r="26" spans="1:63" s="23" customFormat="1" ht="13.5" customHeight="1" x14ac:dyDescent="0.2">
      <c r="A26" s="22"/>
      <c r="B26" s="24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44"/>
      <c r="AO26" s="22"/>
      <c r="AP26" s="22"/>
      <c r="AQ26" s="22"/>
      <c r="AR26" s="22"/>
      <c r="AS26" s="22"/>
      <c r="AT26" s="22"/>
      <c r="AU26" s="22"/>
      <c r="AV26" s="22"/>
      <c r="AW26" s="22"/>
      <c r="AX26" s="44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5"/>
    </row>
    <row r="27" spans="1:63" s="23" customFormat="1" ht="13.5" customHeight="1" x14ac:dyDescent="0.2">
      <c r="A27" s="22"/>
      <c r="B27" s="24"/>
      <c r="C27" s="22"/>
      <c r="D27" s="44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44"/>
      <c r="AO27" s="22"/>
      <c r="AP27" s="22"/>
      <c r="AQ27" s="22"/>
      <c r="AR27" s="22"/>
      <c r="AS27" s="22"/>
      <c r="AT27" s="22"/>
      <c r="AU27" s="22"/>
      <c r="AV27" s="22"/>
      <c r="AW27" s="22"/>
      <c r="AX27" s="44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5"/>
    </row>
    <row r="28" spans="1:63" s="23" customFormat="1" ht="13.5" customHeight="1" x14ac:dyDescent="0.2">
      <c r="A28" s="22"/>
      <c r="B28" s="24"/>
      <c r="C28" s="22"/>
      <c r="D28" s="44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44"/>
      <c r="AO28" s="22"/>
      <c r="AP28" s="22"/>
      <c r="AQ28" s="22"/>
      <c r="AR28" s="22"/>
      <c r="AS28" s="22"/>
      <c r="AT28" s="22"/>
      <c r="AU28" s="22"/>
      <c r="AV28" s="22"/>
      <c r="AW28" s="22"/>
      <c r="AX28" s="44"/>
      <c r="AY28" s="22"/>
      <c r="AZ28" s="22"/>
      <c r="BA28" s="22"/>
      <c r="BB28" s="22"/>
      <c r="BC28" s="22"/>
      <c r="BD28" s="22"/>
      <c r="BE28" s="22"/>
      <c r="BF28" s="22"/>
      <c r="BG28" s="21"/>
      <c r="BH28" s="21"/>
      <c r="BI28" s="21"/>
      <c r="BJ28" s="22"/>
      <c r="BK28" s="25"/>
    </row>
    <row r="29" spans="1:63" s="23" customFormat="1" ht="13.5" customHeight="1" x14ac:dyDescent="0.2">
      <c r="A29" s="22"/>
      <c r="B29" s="24"/>
      <c r="C29" s="22"/>
      <c r="D29" s="44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44"/>
      <c r="AO29" s="22"/>
      <c r="AP29" s="22"/>
      <c r="AQ29" s="22"/>
      <c r="AR29" s="22"/>
      <c r="AS29" s="22"/>
      <c r="AT29" s="22"/>
      <c r="AU29" s="22"/>
      <c r="AV29" s="22"/>
      <c r="AW29" s="22"/>
      <c r="AX29" s="44"/>
      <c r="AY29" s="22"/>
      <c r="AZ29" s="22"/>
      <c r="BA29" s="22"/>
      <c r="BB29" s="22"/>
      <c r="BC29" s="22"/>
      <c r="BD29" s="22"/>
      <c r="BE29" s="22"/>
      <c r="BF29" s="22"/>
      <c r="BG29" s="21"/>
      <c r="BH29" s="21"/>
      <c r="BI29" s="21"/>
      <c r="BJ29" s="22"/>
      <c r="BK29" s="25"/>
    </row>
    <row r="30" spans="1:63" s="23" customFormat="1" ht="13.5" customHeight="1" x14ac:dyDescent="0.2">
      <c r="A30" s="22"/>
      <c r="B30" s="24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44"/>
      <c r="AY30" s="22"/>
      <c r="AZ30" s="22"/>
      <c r="BA30" s="22"/>
      <c r="BB30" s="22"/>
      <c r="BC30" s="22"/>
      <c r="BD30" s="22"/>
      <c r="BE30" s="22"/>
      <c r="BF30" s="22"/>
      <c r="BG30" s="21"/>
      <c r="BH30" s="21"/>
      <c r="BI30" s="21"/>
      <c r="BJ30" s="22"/>
      <c r="BK30" s="25"/>
    </row>
    <row r="31" spans="1:63" s="23" customFormat="1" ht="13.5" customHeight="1" x14ac:dyDescent="0.2">
      <c r="A31" s="22"/>
      <c r="B31" s="24"/>
      <c r="C31" s="22"/>
      <c r="D31" s="44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44"/>
      <c r="AY31" s="22"/>
      <c r="AZ31" s="22"/>
      <c r="BA31" s="22"/>
      <c r="BB31" s="22"/>
      <c r="BC31" s="22"/>
      <c r="BD31" s="22"/>
      <c r="BE31" s="22"/>
      <c r="BF31" s="22"/>
      <c r="BG31" s="21"/>
      <c r="BH31" s="21"/>
      <c r="BI31" s="21"/>
      <c r="BJ31" s="22"/>
      <c r="BK31" s="25"/>
    </row>
    <row r="32" spans="1:63" s="23" customFormat="1" ht="13.5" customHeight="1" x14ac:dyDescent="0.2">
      <c r="A32" s="22"/>
      <c r="B32" s="24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44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5"/>
    </row>
    <row r="33" spans="1:63" s="23" customFormat="1" ht="13.5" customHeight="1" x14ac:dyDescent="0.2">
      <c r="A33" s="22"/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5"/>
    </row>
    <row r="34" spans="1:63" s="23" customFormat="1" ht="13.5" customHeight="1" x14ac:dyDescent="0.2">
      <c r="A34" s="22"/>
      <c r="B34" s="24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5"/>
    </row>
    <row r="35" spans="1:63" s="23" customFormat="1" ht="13.5" customHeight="1" x14ac:dyDescent="0.2">
      <c r="A35" s="22"/>
      <c r="B35" s="2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5"/>
    </row>
    <row r="36" spans="1:63" s="23" customFormat="1" ht="13.5" customHeight="1" x14ac:dyDescent="0.2">
      <c r="A36" s="22"/>
      <c r="B36" s="24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5"/>
    </row>
    <row r="37" spans="1:63" s="23" customFormat="1" ht="13.5" customHeight="1" x14ac:dyDescent="0.2">
      <c r="A37" s="22"/>
      <c r="B37" s="24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1:63" s="23" customFormat="1" ht="13.5" customHeight="1" x14ac:dyDescent="0.2">
      <c r="A38" s="22"/>
      <c r="B38" s="2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1:63" s="23" customFormat="1" ht="13.5" customHeight="1" x14ac:dyDescent="0.2">
      <c r="A39" s="22"/>
      <c r="B39" s="24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1:63" s="23" customFormat="1" ht="13.5" customHeight="1" x14ac:dyDescent="0.2">
      <c r="A40" s="22"/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  <row r="41" spans="1:63" s="23" customFormat="1" ht="13.5" customHeight="1" x14ac:dyDescent="0.2">
      <c r="A41" s="22"/>
      <c r="B41" s="24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5"/>
    </row>
    <row r="42" spans="1:63" s="23" customFormat="1" ht="13.5" customHeight="1" x14ac:dyDescent="0.2">
      <c r="A42" s="22"/>
      <c r="B42" s="24"/>
      <c r="C42" s="22"/>
      <c r="D42" s="22"/>
      <c r="E42" s="22"/>
      <c r="F42" s="44"/>
      <c r="G42" s="22"/>
      <c r="H42" s="22"/>
      <c r="I42" s="22"/>
      <c r="J42" s="44"/>
      <c r="K42" s="44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5"/>
    </row>
    <row r="43" spans="1:63" s="23" customFormat="1" ht="13.5" customHeight="1" x14ac:dyDescent="0.2">
      <c r="A43" s="22"/>
      <c r="B43" s="24"/>
      <c r="C43" s="22"/>
      <c r="D43" s="22"/>
      <c r="E43" s="22"/>
      <c r="F43" s="44"/>
      <c r="G43" s="22"/>
      <c r="H43" s="22"/>
      <c r="I43" s="22"/>
      <c r="J43" s="44"/>
      <c r="K43" s="44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5"/>
    </row>
    <row r="44" spans="1:63" s="23" customFormat="1" ht="13.5" customHeight="1" x14ac:dyDescent="0.2">
      <c r="A44" s="22"/>
      <c r="B44" s="24"/>
      <c r="C44" s="22"/>
      <c r="D44" s="22"/>
      <c r="E44" s="22"/>
      <c r="F44" s="44"/>
      <c r="G44" s="22"/>
      <c r="H44" s="22"/>
      <c r="I44" s="22"/>
      <c r="J44" s="22"/>
      <c r="K44" s="44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5"/>
    </row>
    <row r="45" spans="1:63" s="23" customFormat="1" ht="13.5" customHeight="1" x14ac:dyDescent="0.2">
      <c r="A45" s="22"/>
      <c r="B45" s="24"/>
      <c r="C45" s="22"/>
      <c r="D45" s="22"/>
      <c r="E45" s="22"/>
      <c r="K45" s="53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5"/>
    </row>
    <row r="46" spans="1:63" s="23" customFormat="1" ht="13.5" customHeight="1" x14ac:dyDescent="0.2">
      <c r="A46" s="22"/>
      <c r="B46" s="24"/>
      <c r="C46" s="22"/>
      <c r="D46" s="22"/>
      <c r="E46" s="22"/>
      <c r="F46" s="44"/>
      <c r="G46" s="22"/>
      <c r="H46" s="22"/>
      <c r="I46" s="22"/>
      <c r="J46" s="22"/>
      <c r="K46" s="44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5"/>
    </row>
    <row r="47" spans="1:63" s="23" customFormat="1" ht="13.5" customHeight="1" x14ac:dyDescent="0.2">
      <c r="A47" s="22"/>
      <c r="B47" s="24"/>
      <c r="C47" s="22"/>
      <c r="D47" s="22"/>
      <c r="E47" s="22"/>
      <c r="F47" s="44"/>
      <c r="G47" s="22"/>
      <c r="H47" s="22"/>
      <c r="I47" s="22"/>
      <c r="J47" s="22"/>
      <c r="K47" s="44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5"/>
    </row>
    <row r="48" spans="1:63" s="23" customFormat="1" ht="13.5" customHeight="1" x14ac:dyDescent="0.2">
      <c r="A48" s="22"/>
      <c r="B48" s="24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5"/>
    </row>
    <row r="49" spans="1:63" s="23" customFormat="1" ht="13.5" customHeight="1" x14ac:dyDescent="0.2">
      <c r="A49" s="22"/>
      <c r="B49" s="24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5"/>
    </row>
    <row r="50" spans="1:63" s="23" customFormat="1" ht="13.5" customHeight="1" x14ac:dyDescent="0.2">
      <c r="A50" s="22"/>
      <c r="B50" s="24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2"/>
      <c r="BK50" s="25"/>
    </row>
    <row r="51" spans="1:63" s="23" customFormat="1" ht="13.5" customHeight="1" x14ac:dyDescent="0.2">
      <c r="A51" s="22"/>
      <c r="B51" s="24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2"/>
      <c r="BK51" s="25"/>
    </row>
    <row r="52" spans="1:63" s="23" customFormat="1" ht="13.5" customHeight="1" x14ac:dyDescent="0.2">
      <c r="A52" s="22"/>
      <c r="B52" s="24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2"/>
      <c r="BK52" s="25"/>
    </row>
    <row r="53" spans="1:63" s="23" customFormat="1" ht="13.5" customHeight="1" x14ac:dyDescent="0.2">
      <c r="A53" s="22"/>
      <c r="B53" s="24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2"/>
      <c r="BK53" s="25"/>
    </row>
    <row r="54" spans="1:63" s="23" customFormat="1" ht="13.5" customHeight="1" x14ac:dyDescent="0.2">
      <c r="A54" s="22"/>
      <c r="B54" s="24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5"/>
    </row>
    <row r="55" spans="1:63" s="23" customFormat="1" ht="13.5" customHeight="1" x14ac:dyDescent="0.2">
      <c r="A55" s="22"/>
      <c r="B55" s="24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5"/>
    </row>
    <row r="56" spans="1:63" s="23" customFormat="1" ht="13.5" customHeight="1" x14ac:dyDescent="0.2">
      <c r="A56" s="22"/>
      <c r="B56" s="24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5"/>
    </row>
    <row r="57" spans="1:63" s="23" customFormat="1" ht="13.5" customHeight="1" x14ac:dyDescent="0.2">
      <c r="A57" s="22"/>
      <c r="B57" s="24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22"/>
      <c r="BI57" s="22"/>
      <c r="BJ57" s="22"/>
      <c r="BK57" s="25"/>
    </row>
    <row r="58" spans="1:63" s="23" customFormat="1" ht="13.5" customHeight="1" x14ac:dyDescent="0.2">
      <c r="A58" s="22"/>
      <c r="B58" s="24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5"/>
    </row>
    <row r="59" spans="1:63" s="23" customFormat="1" ht="13.5" customHeight="1" x14ac:dyDescent="0.2">
      <c r="A59" s="22"/>
      <c r="B59" s="24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2"/>
      <c r="BH59" s="22"/>
      <c r="BI59" s="22"/>
      <c r="BJ59" s="22"/>
      <c r="BK59" s="25"/>
    </row>
    <row r="60" spans="1:63" s="23" customFormat="1" ht="13.5" customHeight="1" x14ac:dyDescent="0.2">
      <c r="A60" s="22"/>
      <c r="B60" s="24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5"/>
    </row>
    <row r="61" spans="1:63" s="23" customFormat="1" ht="13.5" customHeight="1" x14ac:dyDescent="0.2">
      <c r="A61" s="22"/>
      <c r="B61" s="24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5"/>
    </row>
    <row r="62" spans="1:63" s="23" customFormat="1" ht="13.5" customHeight="1" x14ac:dyDescent="0.2">
      <c r="A62" s="22"/>
      <c r="B62" s="26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8"/>
    </row>
    <row r="63" spans="1:63" ht="13.5" customHeight="1" x14ac:dyDescent="0.2">
      <c r="A63" s="20"/>
    </row>
    <row r="64" spans="1:63" ht="13.5" customHeight="1" x14ac:dyDescent="0.2">
      <c r="A64" s="20"/>
    </row>
    <row r="65" spans="1:1" ht="13.5" customHeight="1" x14ac:dyDescent="0.2">
      <c r="A65" s="20"/>
    </row>
    <row r="66" spans="1:1" ht="13.5" customHeight="1" x14ac:dyDescent="0.2">
      <c r="A66" s="20"/>
    </row>
  </sheetData>
  <dataConsolidate/>
  <mergeCells count="11">
    <mergeCell ref="AW6:AX7"/>
    <mergeCell ref="AY6:AZ7"/>
    <mergeCell ref="BA6:BK7"/>
    <mergeCell ref="B6:C7"/>
    <mergeCell ref="AQ6:AV7"/>
    <mergeCell ref="D6:Q7"/>
    <mergeCell ref="R6:AB7"/>
    <mergeCell ref="AC6:AF7"/>
    <mergeCell ref="AG6:AH7"/>
    <mergeCell ref="AI6:AJ7"/>
    <mergeCell ref="AK6:AP7"/>
  </mergeCells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horizontalDpi="1200" verticalDpi="1200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rgb="FFFF0000"/>
  </sheetPr>
  <dimension ref="A1:BK24"/>
  <sheetViews>
    <sheetView zoomScaleNormal="100" workbookViewId="0">
      <selection activeCell="B19" sqref="B19:P19"/>
    </sheetView>
  </sheetViews>
  <sheetFormatPr defaultColWidth="2.44140625" defaultRowHeight="13.5" customHeight="1" x14ac:dyDescent="0.2"/>
  <cols>
    <col min="1" max="1" width="0.6640625" style="19" customWidth="1"/>
    <col min="2" max="62" width="2.44140625" style="19" customWidth="1"/>
    <col min="63" max="63" width="1.33203125" style="19" customWidth="1"/>
    <col min="64" max="64" width="0.6640625" style="19" customWidth="1"/>
    <col min="65" max="16384" width="2.44140625" style="19"/>
  </cols>
  <sheetData>
    <row r="1" spans="1:63" s="29" customFormat="1" ht="13.5" customHeight="1" x14ac:dyDescent="0.2">
      <c r="A1" s="20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s="29" customFormat="1" ht="13.5" customHeight="1" x14ac:dyDescent="0.2">
      <c r="A2" s="30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s="23" customFormat="1" ht="13.5" customHeight="1" x14ac:dyDescent="0.2">
      <c r="A3" s="22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 s="23" customFormat="1" ht="13.5" customHeight="1" x14ac:dyDescent="0.2">
      <c r="A4" s="22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 s="23" customFormat="1" ht="4.5" customHeight="1" x14ac:dyDescent="0.2">
      <c r="A5" s="22"/>
      <c r="B5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/>
    </row>
    <row r="6" spans="1:63" s="23" customFormat="1" ht="13.5" customHeight="1" x14ac:dyDescent="0.2">
      <c r="A6" s="22"/>
      <c r="B6" s="320" t="s">
        <v>18</v>
      </c>
      <c r="C6" s="320"/>
      <c r="D6" s="320"/>
      <c r="E6" s="320"/>
      <c r="F6" s="320" t="s">
        <v>22</v>
      </c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320" t="s">
        <v>23</v>
      </c>
      <c r="R6" s="320"/>
      <c r="S6" s="320"/>
      <c r="T6" s="320"/>
      <c r="U6" s="320"/>
      <c r="V6" s="320"/>
      <c r="W6" s="320"/>
      <c r="X6" s="320"/>
      <c r="Y6" s="320"/>
      <c r="Z6" s="320"/>
      <c r="AA6" s="320"/>
      <c r="AB6" s="320"/>
      <c r="AC6" s="320"/>
      <c r="AD6" s="292" t="s">
        <v>24</v>
      </c>
      <c r="AE6" s="306"/>
      <c r="AF6" s="306"/>
      <c r="AG6" s="306"/>
      <c r="AH6" s="306"/>
      <c r="AI6" s="306"/>
      <c r="AJ6" s="306"/>
      <c r="AK6" s="306"/>
      <c r="AL6" s="306"/>
      <c r="AM6" s="306"/>
      <c r="AN6" s="306"/>
      <c r="AO6" s="306"/>
      <c r="AP6" s="306"/>
      <c r="AQ6" s="306"/>
      <c r="AR6" s="306"/>
      <c r="AS6" s="306"/>
      <c r="AT6" s="306"/>
      <c r="AU6" s="306"/>
      <c r="AV6" s="306"/>
      <c r="AW6" s="306"/>
      <c r="AX6" s="306"/>
      <c r="AY6" s="306"/>
      <c r="AZ6" s="306"/>
      <c r="BA6" s="306"/>
      <c r="BB6" s="306"/>
      <c r="BC6" s="306"/>
      <c r="BD6" s="306"/>
      <c r="BE6" s="306"/>
      <c r="BF6" s="306"/>
      <c r="BG6" s="306"/>
      <c r="BH6" s="293"/>
      <c r="BI6" s="293"/>
      <c r="BJ6" s="293"/>
      <c r="BK6" s="294"/>
    </row>
    <row r="7" spans="1:63" s="23" customFormat="1" ht="13.5" customHeight="1" x14ac:dyDescent="0.2">
      <c r="A7" s="22"/>
      <c r="B7" s="320"/>
      <c r="C7" s="320"/>
      <c r="D7" s="320"/>
      <c r="E7" s="320"/>
      <c r="F7" s="320"/>
      <c r="G7" s="320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0"/>
      <c r="U7" s="320"/>
      <c r="V7" s="320"/>
      <c r="W7" s="320"/>
      <c r="X7" s="320"/>
      <c r="Y7" s="320"/>
      <c r="Z7" s="320"/>
      <c r="AA7" s="320"/>
      <c r="AB7" s="320"/>
      <c r="AC7" s="320"/>
      <c r="AD7" s="307"/>
      <c r="AE7" s="308"/>
      <c r="AF7" s="308"/>
      <c r="AG7" s="308"/>
      <c r="AH7" s="308"/>
      <c r="AI7" s="308"/>
      <c r="AJ7" s="308"/>
      <c r="AK7" s="308"/>
      <c r="AL7" s="308"/>
      <c r="AM7" s="308"/>
      <c r="AN7" s="308"/>
      <c r="AO7" s="308"/>
      <c r="AP7" s="308"/>
      <c r="AQ7" s="308"/>
      <c r="AR7" s="308"/>
      <c r="AS7" s="308"/>
      <c r="AT7" s="308"/>
      <c r="AU7" s="308"/>
      <c r="AV7" s="308"/>
      <c r="AW7" s="308"/>
      <c r="AX7" s="308"/>
      <c r="AY7" s="308"/>
      <c r="AZ7" s="308"/>
      <c r="BA7" s="308"/>
      <c r="BB7" s="308"/>
      <c r="BC7" s="308"/>
      <c r="BD7" s="308"/>
      <c r="BE7" s="308"/>
      <c r="BF7" s="308"/>
      <c r="BG7" s="308"/>
      <c r="BH7" s="296"/>
      <c r="BI7" s="296"/>
      <c r="BJ7" s="296"/>
      <c r="BK7" s="297"/>
    </row>
    <row r="8" spans="1:63" s="23" customFormat="1" ht="27" customHeight="1" x14ac:dyDescent="0.2">
      <c r="A8" s="22"/>
      <c r="B8" s="312"/>
      <c r="C8" s="312"/>
      <c r="D8" s="312"/>
      <c r="E8" s="312"/>
      <c r="F8" s="311"/>
      <c r="G8" s="311"/>
      <c r="H8" s="311"/>
      <c r="I8" s="311"/>
      <c r="J8" s="311"/>
      <c r="K8" s="311"/>
      <c r="L8" s="311"/>
      <c r="M8" s="311"/>
      <c r="N8" s="311"/>
      <c r="O8" s="311"/>
      <c r="P8" s="311"/>
      <c r="Q8" s="312"/>
      <c r="R8" s="312"/>
      <c r="S8" s="312"/>
      <c r="T8" s="312"/>
      <c r="U8" s="312"/>
      <c r="V8" s="312"/>
      <c r="W8" s="312"/>
      <c r="X8" s="312"/>
      <c r="Y8" s="312"/>
      <c r="Z8" s="312"/>
      <c r="AA8" s="312"/>
      <c r="AB8" s="312"/>
      <c r="AC8" s="312"/>
      <c r="AD8" s="315"/>
      <c r="AE8" s="316"/>
      <c r="AF8" s="316"/>
      <c r="AG8" s="316"/>
      <c r="AH8" s="316"/>
      <c r="AI8" s="316"/>
      <c r="AJ8" s="316"/>
      <c r="AK8" s="316"/>
      <c r="AL8" s="316"/>
      <c r="AM8" s="316"/>
      <c r="AN8" s="316"/>
      <c r="AO8" s="316"/>
      <c r="AP8" s="316"/>
      <c r="AQ8" s="316"/>
      <c r="AR8" s="316"/>
      <c r="AS8" s="316"/>
      <c r="AT8" s="316"/>
      <c r="AU8" s="316"/>
      <c r="AV8" s="316"/>
      <c r="AW8" s="316"/>
      <c r="AX8" s="316"/>
      <c r="AY8" s="316"/>
      <c r="AZ8" s="316"/>
      <c r="BA8" s="316"/>
      <c r="BB8" s="316"/>
      <c r="BC8" s="316"/>
      <c r="BD8" s="316"/>
      <c r="BE8" s="316"/>
      <c r="BF8" s="316"/>
      <c r="BG8" s="316"/>
      <c r="BH8" s="305"/>
      <c r="BI8" s="247"/>
      <c r="BJ8" s="247"/>
      <c r="BK8" s="234"/>
    </row>
    <row r="9" spans="1:63" s="23" customFormat="1" ht="27" customHeight="1" x14ac:dyDescent="0.2">
      <c r="A9" s="22"/>
      <c r="B9" s="309"/>
      <c r="C9" s="309"/>
      <c r="D9" s="309"/>
      <c r="E9" s="309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2"/>
      <c r="R9" s="312"/>
      <c r="S9" s="312"/>
      <c r="T9" s="312"/>
      <c r="U9" s="312"/>
      <c r="V9" s="312"/>
      <c r="W9" s="312"/>
      <c r="X9" s="312"/>
      <c r="Y9" s="312"/>
      <c r="Z9" s="312"/>
      <c r="AA9" s="312"/>
      <c r="AB9" s="312"/>
      <c r="AC9" s="312"/>
      <c r="AD9" s="313"/>
      <c r="AE9" s="314"/>
      <c r="AF9" s="314"/>
      <c r="AG9" s="314"/>
      <c r="AH9" s="314"/>
      <c r="AI9" s="314"/>
      <c r="AJ9" s="314"/>
      <c r="AK9" s="314"/>
      <c r="AL9" s="314"/>
      <c r="AM9" s="314"/>
      <c r="AN9" s="314"/>
      <c r="AO9" s="314"/>
      <c r="AP9" s="314"/>
      <c r="AQ9" s="314"/>
      <c r="AR9" s="314"/>
      <c r="AS9" s="314"/>
      <c r="AT9" s="314"/>
      <c r="AU9" s="314"/>
      <c r="AV9" s="314"/>
      <c r="AW9" s="314"/>
      <c r="AX9" s="314"/>
      <c r="AY9" s="314"/>
      <c r="AZ9" s="314"/>
      <c r="BA9" s="314"/>
      <c r="BB9" s="314"/>
      <c r="BC9" s="314"/>
      <c r="BD9" s="314"/>
      <c r="BE9" s="314"/>
      <c r="BF9" s="314"/>
      <c r="BG9" s="314"/>
      <c r="BH9" s="305"/>
      <c r="BI9" s="247"/>
      <c r="BJ9" s="247"/>
      <c r="BK9" s="234"/>
    </row>
    <row r="10" spans="1:63" s="23" customFormat="1" ht="27" customHeight="1" x14ac:dyDescent="0.2">
      <c r="A10" s="22"/>
      <c r="B10" s="310"/>
      <c r="C10" s="310"/>
      <c r="D10" s="310"/>
      <c r="E10" s="310"/>
      <c r="F10" s="311"/>
      <c r="G10" s="311"/>
      <c r="H10" s="311"/>
      <c r="I10" s="311"/>
      <c r="J10" s="311"/>
      <c r="K10" s="311"/>
      <c r="L10" s="311"/>
      <c r="M10" s="311"/>
      <c r="N10" s="311"/>
      <c r="O10" s="311"/>
      <c r="P10" s="311"/>
      <c r="Q10" s="312"/>
      <c r="R10" s="312"/>
      <c r="S10" s="312"/>
      <c r="T10" s="312"/>
      <c r="U10" s="312"/>
      <c r="V10" s="312"/>
      <c r="W10" s="312"/>
      <c r="X10" s="312"/>
      <c r="Y10" s="312"/>
      <c r="Z10" s="312"/>
      <c r="AA10" s="312"/>
      <c r="AB10" s="312"/>
      <c r="AC10" s="312"/>
      <c r="AD10" s="315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05"/>
      <c r="BI10" s="317"/>
      <c r="BJ10" s="317"/>
      <c r="BK10" s="319"/>
    </row>
    <row r="11" spans="1:63" s="23" customFormat="1" ht="27" customHeight="1" x14ac:dyDescent="0.2">
      <c r="A11" s="22"/>
      <c r="B11" s="312"/>
      <c r="C11" s="312"/>
      <c r="D11" s="312"/>
      <c r="E11" s="312"/>
      <c r="F11" s="311"/>
      <c r="G11" s="311"/>
      <c r="H11" s="311"/>
      <c r="I11" s="311"/>
      <c r="J11" s="311"/>
      <c r="K11" s="311"/>
      <c r="L11" s="311"/>
      <c r="M11" s="311"/>
      <c r="N11" s="311"/>
      <c r="O11" s="311"/>
      <c r="P11" s="311"/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5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  <c r="BC11" s="316"/>
      <c r="BD11" s="316"/>
      <c r="BE11" s="316"/>
      <c r="BF11" s="316"/>
      <c r="BG11" s="316"/>
      <c r="BH11" s="305"/>
      <c r="BI11" s="247"/>
      <c r="BJ11" s="247"/>
      <c r="BK11" s="234"/>
    </row>
    <row r="12" spans="1:63" s="23" customFormat="1" ht="27" customHeight="1" x14ac:dyDescent="0.2">
      <c r="A12" s="22"/>
      <c r="B12" s="309"/>
      <c r="C12" s="309"/>
      <c r="D12" s="309"/>
      <c r="E12" s="309"/>
      <c r="F12" s="311"/>
      <c r="G12" s="311"/>
      <c r="H12" s="311"/>
      <c r="I12" s="311"/>
      <c r="J12" s="311"/>
      <c r="K12" s="311"/>
      <c r="L12" s="311"/>
      <c r="M12" s="311"/>
      <c r="N12" s="311"/>
      <c r="O12" s="311"/>
      <c r="P12" s="311"/>
      <c r="Q12" s="312"/>
      <c r="R12" s="312"/>
      <c r="S12" s="312"/>
      <c r="T12" s="312"/>
      <c r="U12" s="312"/>
      <c r="V12" s="312"/>
      <c r="W12" s="312"/>
      <c r="X12" s="312"/>
      <c r="Y12" s="312"/>
      <c r="Z12" s="312"/>
      <c r="AA12" s="312"/>
      <c r="AB12" s="312"/>
      <c r="AC12" s="312"/>
      <c r="AD12" s="313"/>
      <c r="AE12" s="314"/>
      <c r="AF12" s="314"/>
      <c r="AG12" s="314"/>
      <c r="AH12" s="314"/>
      <c r="AI12" s="314"/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314"/>
      <c r="BG12" s="314"/>
      <c r="BH12" s="317"/>
      <c r="BI12" s="247"/>
      <c r="BJ12" s="247"/>
      <c r="BK12" s="234"/>
    </row>
    <row r="13" spans="1:63" s="23" customFormat="1" ht="27" customHeight="1" x14ac:dyDescent="0.2">
      <c r="A13" s="22"/>
      <c r="B13" s="310"/>
      <c r="C13" s="310"/>
      <c r="D13" s="310"/>
      <c r="E13" s="310"/>
      <c r="F13" s="311"/>
      <c r="G13" s="311"/>
      <c r="H13" s="311"/>
      <c r="I13" s="311"/>
      <c r="J13" s="311"/>
      <c r="K13" s="311"/>
      <c r="L13" s="311"/>
      <c r="M13" s="311"/>
      <c r="N13" s="311"/>
      <c r="O13" s="311"/>
      <c r="P13" s="311"/>
      <c r="Q13" s="312"/>
      <c r="R13" s="312"/>
      <c r="S13" s="312"/>
      <c r="T13" s="312"/>
      <c r="U13" s="312"/>
      <c r="V13" s="312"/>
      <c r="W13" s="312"/>
      <c r="X13" s="312"/>
      <c r="Y13" s="312"/>
      <c r="Z13" s="312"/>
      <c r="AA13" s="312"/>
      <c r="AB13" s="312"/>
      <c r="AC13" s="312"/>
      <c r="AD13" s="315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  <c r="BA13" s="316"/>
      <c r="BB13" s="316"/>
      <c r="BC13" s="316"/>
      <c r="BD13" s="316"/>
      <c r="BE13" s="316"/>
      <c r="BF13" s="316"/>
      <c r="BG13" s="316"/>
      <c r="BH13" s="305"/>
      <c r="BI13" s="247"/>
      <c r="BJ13" s="247"/>
      <c r="BK13" s="234"/>
    </row>
    <row r="14" spans="1:63" s="23" customFormat="1" ht="27" customHeight="1" x14ac:dyDescent="0.2">
      <c r="A14" s="22"/>
      <c r="B14" s="309"/>
      <c r="C14" s="312"/>
      <c r="D14" s="312"/>
      <c r="E14" s="312"/>
      <c r="F14" s="3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2"/>
      <c r="R14" s="312"/>
      <c r="S14" s="312"/>
      <c r="T14" s="312"/>
      <c r="U14" s="312"/>
      <c r="V14" s="312"/>
      <c r="W14" s="312"/>
      <c r="X14" s="312"/>
      <c r="Y14" s="312"/>
      <c r="Z14" s="312"/>
      <c r="AA14" s="312"/>
      <c r="AB14" s="312"/>
      <c r="AC14" s="312"/>
      <c r="AD14" s="313"/>
      <c r="AE14" s="314"/>
      <c r="AF14" s="314"/>
      <c r="AG14" s="314"/>
      <c r="AH14" s="314"/>
      <c r="AI14" s="314"/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314"/>
      <c r="BG14" s="314"/>
      <c r="BH14" s="317"/>
      <c r="BI14" s="247"/>
      <c r="BJ14" s="247"/>
      <c r="BK14" s="234"/>
    </row>
    <row r="15" spans="1:63" s="23" customFormat="1" ht="27" customHeight="1" x14ac:dyDescent="0.2">
      <c r="A15" s="22"/>
      <c r="B15" s="309"/>
      <c r="C15" s="309"/>
      <c r="D15" s="309"/>
      <c r="E15" s="309"/>
      <c r="F15" s="311"/>
      <c r="G15" s="311"/>
      <c r="H15" s="311"/>
      <c r="I15" s="311"/>
      <c r="J15" s="311"/>
      <c r="K15" s="311"/>
      <c r="L15" s="311"/>
      <c r="M15" s="311"/>
      <c r="N15" s="311"/>
      <c r="O15" s="311"/>
      <c r="P15" s="311"/>
      <c r="Q15" s="312"/>
      <c r="R15" s="312"/>
      <c r="S15" s="312"/>
      <c r="T15" s="312"/>
      <c r="U15" s="312"/>
      <c r="V15" s="312"/>
      <c r="W15" s="312"/>
      <c r="X15" s="312"/>
      <c r="Y15" s="312"/>
      <c r="Z15" s="312"/>
      <c r="AA15" s="312"/>
      <c r="AB15" s="312"/>
      <c r="AC15" s="312"/>
      <c r="AD15" s="313"/>
      <c r="AE15" s="314"/>
      <c r="AF15" s="314"/>
      <c r="AG15" s="314"/>
      <c r="AH15" s="314"/>
      <c r="AI15" s="314"/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314"/>
      <c r="BG15" s="314"/>
      <c r="BH15" s="305"/>
      <c r="BI15" s="247"/>
      <c r="BJ15" s="247"/>
      <c r="BK15" s="234"/>
    </row>
    <row r="16" spans="1:63" s="23" customFormat="1" ht="27" customHeight="1" x14ac:dyDescent="0.2">
      <c r="A16" s="22"/>
      <c r="B16" s="310"/>
      <c r="C16" s="310"/>
      <c r="D16" s="310"/>
      <c r="E16" s="310"/>
      <c r="F16" s="311"/>
      <c r="G16" s="311"/>
      <c r="H16" s="311"/>
      <c r="I16" s="311"/>
      <c r="J16" s="311"/>
      <c r="K16" s="311"/>
      <c r="L16" s="311"/>
      <c r="M16" s="311"/>
      <c r="N16" s="311"/>
      <c r="O16" s="311"/>
      <c r="P16" s="311"/>
      <c r="Q16" s="312"/>
      <c r="R16" s="312"/>
      <c r="S16" s="312"/>
      <c r="T16" s="312"/>
      <c r="U16" s="312"/>
      <c r="V16" s="312"/>
      <c r="W16" s="312"/>
      <c r="X16" s="312"/>
      <c r="Y16" s="312"/>
      <c r="Z16" s="312"/>
      <c r="AA16" s="312"/>
      <c r="AB16" s="312"/>
      <c r="AC16" s="312"/>
      <c r="AD16" s="315"/>
      <c r="AE16" s="316"/>
      <c r="AF16" s="316"/>
      <c r="AG16" s="316"/>
      <c r="AH16" s="316"/>
      <c r="AI16" s="316"/>
      <c r="AJ16" s="316"/>
      <c r="AK16" s="316"/>
      <c r="AL16" s="316"/>
      <c r="AM16" s="316"/>
      <c r="AN16" s="316"/>
      <c r="AO16" s="316"/>
      <c r="AP16" s="316"/>
      <c r="AQ16" s="316"/>
      <c r="AR16" s="316"/>
      <c r="AS16" s="316"/>
      <c r="AT16" s="316"/>
      <c r="AU16" s="316"/>
      <c r="AV16" s="316"/>
      <c r="AW16" s="316"/>
      <c r="AX16" s="316"/>
      <c r="AY16" s="316"/>
      <c r="AZ16" s="316"/>
      <c r="BA16" s="316"/>
      <c r="BB16" s="316"/>
      <c r="BC16" s="316"/>
      <c r="BD16" s="316"/>
      <c r="BE16" s="316"/>
      <c r="BF16" s="316"/>
      <c r="BG16" s="316"/>
      <c r="BH16" s="305"/>
      <c r="BI16" s="247"/>
      <c r="BJ16" s="247"/>
      <c r="BK16" s="234"/>
    </row>
    <row r="17" spans="1:63" s="23" customFormat="1" ht="27" customHeight="1" x14ac:dyDescent="0.2">
      <c r="A17" s="22"/>
      <c r="B17" s="310"/>
      <c r="C17" s="310"/>
      <c r="D17" s="310"/>
      <c r="E17" s="310"/>
      <c r="F17" s="311"/>
      <c r="G17" s="311"/>
      <c r="H17" s="311"/>
      <c r="I17" s="311"/>
      <c r="J17" s="311"/>
      <c r="K17" s="311"/>
      <c r="L17" s="311"/>
      <c r="M17" s="311"/>
      <c r="N17" s="311"/>
      <c r="O17" s="311"/>
      <c r="P17" s="311"/>
      <c r="Q17" s="312"/>
      <c r="R17" s="312"/>
      <c r="S17" s="312"/>
      <c r="T17" s="312"/>
      <c r="U17" s="312"/>
      <c r="V17" s="312"/>
      <c r="W17" s="312"/>
      <c r="X17" s="312"/>
      <c r="Y17" s="312"/>
      <c r="Z17" s="312"/>
      <c r="AA17" s="312"/>
      <c r="AB17" s="312"/>
      <c r="AC17" s="312"/>
      <c r="AD17" s="315"/>
      <c r="AE17" s="316"/>
      <c r="AF17" s="316"/>
      <c r="AG17" s="316"/>
      <c r="AH17" s="316"/>
      <c r="AI17" s="316"/>
      <c r="AJ17" s="316"/>
      <c r="AK17" s="316"/>
      <c r="AL17" s="316"/>
      <c r="AM17" s="316"/>
      <c r="AN17" s="316"/>
      <c r="AO17" s="316"/>
      <c r="AP17" s="316"/>
      <c r="AQ17" s="316"/>
      <c r="AR17" s="316"/>
      <c r="AS17" s="316"/>
      <c r="AT17" s="316"/>
      <c r="AU17" s="316"/>
      <c r="AV17" s="316"/>
      <c r="AW17" s="316"/>
      <c r="AX17" s="316"/>
      <c r="AY17" s="316"/>
      <c r="AZ17" s="316"/>
      <c r="BA17" s="316"/>
      <c r="BB17" s="316"/>
      <c r="BC17" s="316"/>
      <c r="BD17" s="316"/>
      <c r="BE17" s="316"/>
      <c r="BF17" s="316"/>
      <c r="BG17" s="316"/>
      <c r="BH17" s="305"/>
      <c r="BI17" s="247"/>
      <c r="BJ17" s="247"/>
      <c r="BK17" s="234"/>
    </row>
    <row r="18" spans="1:63" s="23" customFormat="1" ht="27" customHeight="1" x14ac:dyDescent="0.2">
      <c r="A18" s="22"/>
      <c r="B18" s="310"/>
      <c r="C18" s="310"/>
      <c r="D18" s="310"/>
      <c r="E18" s="310"/>
      <c r="F18" s="311"/>
      <c r="G18" s="311"/>
      <c r="H18" s="311"/>
      <c r="I18" s="311"/>
      <c r="J18" s="311"/>
      <c r="K18" s="311"/>
      <c r="L18" s="311"/>
      <c r="M18" s="311"/>
      <c r="N18" s="311"/>
      <c r="O18" s="311"/>
      <c r="P18" s="311"/>
      <c r="Q18" s="312"/>
      <c r="R18" s="312"/>
      <c r="S18" s="312"/>
      <c r="T18" s="312"/>
      <c r="U18" s="312"/>
      <c r="V18" s="312"/>
      <c r="W18" s="312"/>
      <c r="X18" s="312"/>
      <c r="Y18" s="312"/>
      <c r="Z18" s="312"/>
      <c r="AA18" s="312"/>
      <c r="AB18" s="312"/>
      <c r="AC18" s="312"/>
      <c r="AD18" s="315"/>
      <c r="AE18" s="316"/>
      <c r="AF18" s="316"/>
      <c r="AG18" s="316"/>
      <c r="AH18" s="316"/>
      <c r="AI18" s="316"/>
      <c r="AJ18" s="316"/>
      <c r="AK18" s="316"/>
      <c r="AL18" s="316"/>
      <c r="AM18" s="316"/>
      <c r="AN18" s="316"/>
      <c r="AO18" s="316"/>
      <c r="AP18" s="316"/>
      <c r="AQ18" s="316"/>
      <c r="AR18" s="316"/>
      <c r="AS18" s="316"/>
      <c r="AT18" s="316"/>
      <c r="AU18" s="316"/>
      <c r="AV18" s="316"/>
      <c r="AW18" s="316"/>
      <c r="AX18" s="316"/>
      <c r="AY18" s="316"/>
      <c r="AZ18" s="316"/>
      <c r="BA18" s="316"/>
      <c r="BB18" s="316"/>
      <c r="BC18" s="316"/>
      <c r="BD18" s="316"/>
      <c r="BE18" s="316"/>
      <c r="BF18" s="316"/>
      <c r="BG18" s="316"/>
      <c r="BH18" s="305"/>
      <c r="BI18" s="247"/>
      <c r="BJ18" s="247"/>
      <c r="BK18" s="234"/>
    </row>
    <row r="19" spans="1:63" s="23" customFormat="1" ht="27" customHeight="1" x14ac:dyDescent="0.2">
      <c r="A19" s="22"/>
      <c r="B19" s="310"/>
      <c r="C19" s="310"/>
      <c r="D19" s="310"/>
      <c r="E19" s="310"/>
      <c r="F19" s="311"/>
      <c r="G19" s="311"/>
      <c r="H19" s="311"/>
      <c r="I19" s="311"/>
      <c r="J19" s="311"/>
      <c r="K19" s="311"/>
      <c r="L19" s="311"/>
      <c r="M19" s="311"/>
      <c r="N19" s="311"/>
      <c r="O19" s="311"/>
      <c r="P19" s="311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5"/>
      <c r="AE19" s="316"/>
      <c r="AF19" s="316"/>
      <c r="AG19" s="316"/>
      <c r="AH19" s="316"/>
      <c r="AI19" s="316"/>
      <c r="AJ19" s="316"/>
      <c r="AK19" s="316"/>
      <c r="AL19" s="316"/>
      <c r="AM19" s="316"/>
      <c r="AN19" s="316"/>
      <c r="AO19" s="316"/>
      <c r="AP19" s="316"/>
      <c r="AQ19" s="316"/>
      <c r="AR19" s="316"/>
      <c r="AS19" s="316"/>
      <c r="AT19" s="316"/>
      <c r="AU19" s="316"/>
      <c r="AV19" s="316"/>
      <c r="AW19" s="316"/>
      <c r="AX19" s="316"/>
      <c r="AY19" s="316"/>
      <c r="AZ19" s="316"/>
      <c r="BA19" s="316"/>
      <c r="BB19" s="316"/>
      <c r="BC19" s="316"/>
      <c r="BD19" s="316"/>
      <c r="BE19" s="316"/>
      <c r="BF19" s="316"/>
      <c r="BG19" s="316"/>
      <c r="BH19" s="305"/>
      <c r="BI19" s="247"/>
      <c r="BJ19" s="247"/>
      <c r="BK19" s="234"/>
    </row>
    <row r="20" spans="1:63" s="23" customFormat="1" ht="27" customHeight="1" x14ac:dyDescent="0.2">
      <c r="A20" s="22"/>
      <c r="B20" s="310"/>
      <c r="C20" s="310"/>
      <c r="D20" s="310"/>
      <c r="E20" s="310"/>
      <c r="F20" s="311"/>
      <c r="G20" s="311"/>
      <c r="H20" s="311"/>
      <c r="I20" s="311"/>
      <c r="J20" s="311"/>
      <c r="K20" s="311"/>
      <c r="L20" s="311"/>
      <c r="M20" s="311"/>
      <c r="N20" s="311"/>
      <c r="O20" s="311"/>
      <c r="P20" s="311"/>
      <c r="Q20" s="312"/>
      <c r="R20" s="312"/>
      <c r="S20" s="312"/>
      <c r="T20" s="312"/>
      <c r="U20" s="312"/>
      <c r="V20" s="312"/>
      <c r="W20" s="312"/>
      <c r="X20" s="312"/>
      <c r="Y20" s="312"/>
      <c r="Z20" s="312"/>
      <c r="AA20" s="312"/>
      <c r="AB20" s="312"/>
      <c r="AC20" s="312"/>
      <c r="AD20" s="315"/>
      <c r="AE20" s="316"/>
      <c r="AF20" s="316"/>
      <c r="AG20" s="316"/>
      <c r="AH20" s="316"/>
      <c r="AI20" s="316"/>
      <c r="AJ20" s="316"/>
      <c r="AK20" s="316"/>
      <c r="AL20" s="316"/>
      <c r="AM20" s="316"/>
      <c r="AN20" s="316"/>
      <c r="AO20" s="316"/>
      <c r="AP20" s="316"/>
      <c r="AQ20" s="316"/>
      <c r="AR20" s="316"/>
      <c r="AS20" s="316"/>
      <c r="AT20" s="316"/>
      <c r="AU20" s="316"/>
      <c r="AV20" s="316"/>
      <c r="AW20" s="316"/>
      <c r="AX20" s="316"/>
      <c r="AY20" s="316"/>
      <c r="AZ20" s="316"/>
      <c r="BA20" s="316"/>
      <c r="BB20" s="316"/>
      <c r="BC20" s="316"/>
      <c r="BD20" s="316"/>
      <c r="BE20" s="316"/>
      <c r="BF20" s="316"/>
      <c r="BG20" s="316"/>
      <c r="BH20" s="305"/>
      <c r="BI20" s="247"/>
      <c r="BJ20" s="247"/>
      <c r="BK20" s="234"/>
    </row>
    <row r="21" spans="1:63" s="23" customFormat="1" ht="27" customHeight="1" x14ac:dyDescent="0.2">
      <c r="A21" s="22"/>
      <c r="B21" s="309"/>
      <c r="C21" s="310"/>
      <c r="D21" s="310"/>
      <c r="E21" s="310"/>
      <c r="F21" s="311"/>
      <c r="G21" s="311"/>
      <c r="H21" s="311"/>
      <c r="I21" s="311"/>
      <c r="J21" s="311"/>
      <c r="K21" s="311"/>
      <c r="L21" s="311"/>
      <c r="M21" s="311"/>
      <c r="N21" s="311"/>
      <c r="O21" s="311"/>
      <c r="P21" s="311"/>
      <c r="Q21" s="312"/>
      <c r="R21" s="312"/>
      <c r="S21" s="312"/>
      <c r="T21" s="312"/>
      <c r="U21" s="312"/>
      <c r="V21" s="312"/>
      <c r="W21" s="312"/>
      <c r="X21" s="312"/>
      <c r="Y21" s="312"/>
      <c r="Z21" s="312"/>
      <c r="AA21" s="312"/>
      <c r="AB21" s="312"/>
      <c r="AC21" s="312"/>
      <c r="AD21" s="313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314"/>
      <c r="BG21" s="314"/>
      <c r="BH21" s="317"/>
      <c r="BI21" s="247"/>
      <c r="BJ21" s="247"/>
      <c r="BK21" s="234"/>
    </row>
    <row r="22" spans="1:63" s="23" customFormat="1" ht="27" customHeight="1" x14ac:dyDescent="0.2">
      <c r="A22" s="22"/>
      <c r="B22" s="309"/>
      <c r="C22" s="310"/>
      <c r="D22" s="310"/>
      <c r="E22" s="310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2"/>
      <c r="R22" s="312"/>
      <c r="S22" s="312"/>
      <c r="T22" s="312"/>
      <c r="U22" s="312"/>
      <c r="V22" s="312"/>
      <c r="W22" s="312"/>
      <c r="X22" s="312"/>
      <c r="Y22" s="312"/>
      <c r="Z22" s="312"/>
      <c r="AA22" s="312"/>
      <c r="AB22" s="312"/>
      <c r="AC22" s="312"/>
      <c r="AD22" s="318"/>
      <c r="AE22" s="316"/>
      <c r="AF22" s="316"/>
      <c r="AG22" s="316"/>
      <c r="AH22" s="316"/>
      <c r="AI22" s="316"/>
      <c r="AJ22" s="316"/>
      <c r="AK22" s="316"/>
      <c r="AL22" s="316"/>
      <c r="AM22" s="316"/>
      <c r="AN22" s="316"/>
      <c r="AO22" s="316"/>
      <c r="AP22" s="316"/>
      <c r="AQ22" s="316"/>
      <c r="AR22" s="316"/>
      <c r="AS22" s="316"/>
      <c r="AT22" s="316"/>
      <c r="AU22" s="316"/>
      <c r="AV22" s="316"/>
      <c r="AW22" s="316"/>
      <c r="AX22" s="316"/>
      <c r="AY22" s="316"/>
      <c r="AZ22" s="316"/>
      <c r="BA22" s="316"/>
      <c r="BB22" s="316"/>
      <c r="BC22" s="316"/>
      <c r="BD22" s="316"/>
      <c r="BE22" s="316"/>
      <c r="BF22" s="316"/>
      <c r="BG22" s="316"/>
      <c r="BH22" s="305"/>
      <c r="BI22" s="247"/>
      <c r="BJ22" s="247"/>
      <c r="BK22" s="234"/>
    </row>
    <row r="23" spans="1:63" s="23" customFormat="1" ht="27" customHeight="1" x14ac:dyDescent="0.2">
      <c r="A23" s="22"/>
      <c r="B23" s="310"/>
      <c r="C23" s="310"/>
      <c r="D23" s="310"/>
      <c r="E23" s="310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5"/>
      <c r="AE23" s="316"/>
      <c r="AF23" s="316"/>
      <c r="AG23" s="316"/>
      <c r="AH23" s="316"/>
      <c r="AI23" s="316"/>
      <c r="AJ23" s="316"/>
      <c r="AK23" s="316"/>
      <c r="AL23" s="316"/>
      <c r="AM23" s="316"/>
      <c r="AN23" s="316"/>
      <c r="AO23" s="316"/>
      <c r="AP23" s="316"/>
      <c r="AQ23" s="316"/>
      <c r="AR23" s="316"/>
      <c r="AS23" s="316"/>
      <c r="AT23" s="316"/>
      <c r="AU23" s="316"/>
      <c r="AV23" s="316"/>
      <c r="AW23" s="316"/>
      <c r="AX23" s="316"/>
      <c r="AY23" s="316"/>
      <c r="AZ23" s="316"/>
      <c r="BA23" s="316"/>
      <c r="BB23" s="316"/>
      <c r="BC23" s="316"/>
      <c r="BD23" s="316"/>
      <c r="BE23" s="316"/>
      <c r="BF23" s="316"/>
      <c r="BG23" s="316"/>
      <c r="BH23" s="305"/>
      <c r="BI23" s="247"/>
      <c r="BJ23" s="247"/>
      <c r="BK23" s="234"/>
    </row>
    <row r="24" spans="1:63" s="23" customFormat="1" ht="20.25" customHeight="1" x14ac:dyDescent="0.2">
      <c r="A24" s="22"/>
      <c r="B24" s="26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8"/>
    </row>
  </sheetData>
  <dataConsolidate/>
  <mergeCells count="84">
    <mergeCell ref="AD8:BG8"/>
    <mergeCell ref="BH8:BK8"/>
    <mergeCell ref="B6:E7"/>
    <mergeCell ref="F6:P7"/>
    <mergeCell ref="Q6:AC7"/>
    <mergeCell ref="B8:E8"/>
    <mergeCell ref="F8:P8"/>
    <mergeCell ref="Q8:AC8"/>
    <mergeCell ref="BH9:BK9"/>
    <mergeCell ref="B10:E10"/>
    <mergeCell ref="F10:P10"/>
    <mergeCell ref="Q10:AC10"/>
    <mergeCell ref="AD10:BG10"/>
    <mergeCell ref="BH10:BK10"/>
    <mergeCell ref="B9:E9"/>
    <mergeCell ref="F9:P9"/>
    <mergeCell ref="Q9:AC9"/>
    <mergeCell ref="AD9:BG9"/>
    <mergeCell ref="BH11:BK11"/>
    <mergeCell ref="B12:E12"/>
    <mergeCell ref="F12:P12"/>
    <mergeCell ref="Q12:AC12"/>
    <mergeCell ref="AD12:BG12"/>
    <mergeCell ref="BH12:BK12"/>
    <mergeCell ref="B11:E11"/>
    <mergeCell ref="F11:P11"/>
    <mergeCell ref="Q11:AC11"/>
    <mergeCell ref="AD11:BG11"/>
    <mergeCell ref="BH13:BK13"/>
    <mergeCell ref="B14:E14"/>
    <mergeCell ref="F14:P14"/>
    <mergeCell ref="Q14:AC14"/>
    <mergeCell ref="AD14:BG14"/>
    <mergeCell ref="BH14:BK14"/>
    <mergeCell ref="B13:E13"/>
    <mergeCell ref="F13:P13"/>
    <mergeCell ref="Q13:AC13"/>
    <mergeCell ref="AD13:BG13"/>
    <mergeCell ref="BH15:BK15"/>
    <mergeCell ref="B16:E16"/>
    <mergeCell ref="F16:P16"/>
    <mergeCell ref="Q16:AC16"/>
    <mergeCell ref="AD16:BG16"/>
    <mergeCell ref="BH16:BK16"/>
    <mergeCell ref="B15:E15"/>
    <mergeCell ref="F15:P15"/>
    <mergeCell ref="Q15:AC15"/>
    <mergeCell ref="AD15:BG15"/>
    <mergeCell ref="BH17:BK17"/>
    <mergeCell ref="B18:E18"/>
    <mergeCell ref="F18:P18"/>
    <mergeCell ref="Q18:AC18"/>
    <mergeCell ref="AD18:BG18"/>
    <mergeCell ref="BH18:BK18"/>
    <mergeCell ref="B17:E17"/>
    <mergeCell ref="F17:P17"/>
    <mergeCell ref="Q17:AC17"/>
    <mergeCell ref="AD17:BG17"/>
    <mergeCell ref="BH19:BK19"/>
    <mergeCell ref="B20:E20"/>
    <mergeCell ref="F20:P20"/>
    <mergeCell ref="Q20:AC20"/>
    <mergeCell ref="AD20:BG20"/>
    <mergeCell ref="BH20:BK20"/>
    <mergeCell ref="B19:E19"/>
    <mergeCell ref="F19:P19"/>
    <mergeCell ref="Q19:AC19"/>
    <mergeCell ref="AD19:BG19"/>
    <mergeCell ref="BH23:BK23"/>
    <mergeCell ref="AD6:BK7"/>
    <mergeCell ref="B21:E21"/>
    <mergeCell ref="F21:P21"/>
    <mergeCell ref="Q21:AC21"/>
    <mergeCell ref="AD21:BG21"/>
    <mergeCell ref="B23:E23"/>
    <mergeCell ref="F23:P23"/>
    <mergeCell ref="Q23:AC23"/>
    <mergeCell ref="AD23:BG23"/>
    <mergeCell ref="BH21:BK21"/>
    <mergeCell ref="B22:E22"/>
    <mergeCell ref="F22:P22"/>
    <mergeCell ref="Q22:AC22"/>
    <mergeCell ref="AD22:BG22"/>
    <mergeCell ref="BH22:BK22"/>
  </mergeCells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horizontalDpi="1200" verticalDpi="1200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F0000"/>
  </sheetPr>
  <dimension ref="A1:BK79"/>
  <sheetViews>
    <sheetView workbookViewId="0">
      <selection activeCell="B19" sqref="B19:P19"/>
    </sheetView>
  </sheetViews>
  <sheetFormatPr defaultColWidth="2.44140625" defaultRowHeight="13.5" customHeight="1" x14ac:dyDescent="0.2"/>
  <cols>
    <col min="1" max="1" width="0.6640625" style="19" customWidth="1"/>
    <col min="2" max="62" width="2.44140625" style="19" customWidth="1"/>
    <col min="63" max="63" width="1.33203125" style="19" customWidth="1"/>
    <col min="64" max="64" width="0.6640625" style="19" customWidth="1"/>
    <col min="65" max="16384" width="2.44140625" style="19"/>
  </cols>
  <sheetData>
    <row r="1" spans="1:63" s="29" customFormat="1" ht="13.5" customHeight="1" x14ac:dyDescent="0.2">
      <c r="A1" s="20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s="29" customFormat="1" ht="13.5" customHeight="1" x14ac:dyDescent="0.2">
      <c r="A2" s="30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s="23" customFormat="1" ht="13.5" customHeight="1" x14ac:dyDescent="0.2">
      <c r="A3" s="22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 s="23" customFormat="1" ht="13.5" customHeight="1" x14ac:dyDescent="0.2">
      <c r="A4" s="22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 s="23" customFormat="1" ht="4.5" customHeight="1" x14ac:dyDescent="0.2">
      <c r="A5" s="22"/>
      <c r="B5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/>
    </row>
    <row r="6" spans="1:63" s="23" customFormat="1" ht="13.5" customHeight="1" x14ac:dyDescent="0.2">
      <c r="A6" s="22"/>
      <c r="B6" s="40"/>
      <c r="C6" s="41"/>
      <c r="D6" s="41"/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3"/>
    </row>
    <row r="7" spans="1:63" s="23" customFormat="1" ht="13.5" customHeight="1" x14ac:dyDescent="0.2">
      <c r="A7" s="22"/>
      <c r="B7" s="24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5"/>
    </row>
    <row r="8" spans="1:63" s="23" customFormat="1" ht="13.5" customHeight="1" x14ac:dyDescent="0.2">
      <c r="A8" s="22"/>
      <c r="B8" s="24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5"/>
    </row>
    <row r="9" spans="1:63" s="23" customFormat="1" ht="13.5" customHeight="1" x14ac:dyDescent="0.2">
      <c r="A9" s="22"/>
      <c r="B9" s="24"/>
      <c r="C9" s="22"/>
      <c r="D9" s="22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5"/>
    </row>
    <row r="10" spans="1:63" s="23" customFormat="1" ht="13.5" customHeight="1" x14ac:dyDescent="0.2">
      <c r="A10" s="22"/>
      <c r="B10" s="24"/>
      <c r="C10" s="22"/>
      <c r="D10" s="22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5"/>
    </row>
    <row r="11" spans="1:63" s="23" customFormat="1" ht="13.5" customHeight="1" x14ac:dyDescent="0.2">
      <c r="A11" s="22"/>
      <c r="B11" s="24"/>
      <c r="C11" s="22"/>
      <c r="D11" s="22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5"/>
    </row>
    <row r="12" spans="1:63" s="23" customFormat="1" ht="13.5" customHeight="1" x14ac:dyDescent="0.2">
      <c r="A12" s="22"/>
      <c r="B12" s="24"/>
      <c r="C12" s="22"/>
      <c r="D12" s="2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5"/>
    </row>
    <row r="13" spans="1:63" s="23" customFormat="1" ht="13.5" customHeight="1" x14ac:dyDescent="0.2">
      <c r="A13" s="22"/>
      <c r="B13" s="24"/>
      <c r="C13" s="22"/>
      <c r="D13" s="22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5"/>
    </row>
    <row r="14" spans="1:63" s="23" customFormat="1" ht="13.5" customHeight="1" x14ac:dyDescent="0.2">
      <c r="A14" s="22"/>
      <c r="B14" s="24"/>
      <c r="C14" s="22"/>
      <c r="D14" s="22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5"/>
    </row>
    <row r="15" spans="1:63" s="23" customFormat="1" ht="13.5" customHeight="1" x14ac:dyDescent="0.2">
      <c r="A15" s="22"/>
      <c r="B15" s="24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5"/>
    </row>
    <row r="16" spans="1:63" s="23" customFormat="1" ht="13.5" customHeight="1" x14ac:dyDescent="0.2">
      <c r="A16" s="22"/>
      <c r="B16" s="24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5"/>
    </row>
    <row r="17" spans="1:63" s="23" customFormat="1" ht="13.5" customHeight="1" x14ac:dyDescent="0.2">
      <c r="A17" s="22"/>
      <c r="B17" s="24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5"/>
    </row>
    <row r="18" spans="1:63" s="23" customFormat="1" ht="13.5" customHeight="1" x14ac:dyDescent="0.2">
      <c r="A18" s="22"/>
      <c r="B18" s="24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5"/>
    </row>
    <row r="19" spans="1:63" s="23" customFormat="1" ht="13.5" customHeight="1" x14ac:dyDescent="0.2">
      <c r="A19" s="22"/>
      <c r="B19" s="24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5"/>
    </row>
    <row r="20" spans="1:63" s="23" customFormat="1" ht="13.5" customHeight="1" x14ac:dyDescent="0.2">
      <c r="A20" s="22"/>
      <c r="B20" s="24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5"/>
    </row>
    <row r="21" spans="1:63" s="23" customFormat="1" ht="13.5" customHeight="1" x14ac:dyDescent="0.2">
      <c r="A21" s="22"/>
      <c r="B21" s="24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5"/>
    </row>
    <row r="22" spans="1:63" s="23" customFormat="1" ht="13.5" customHeight="1" x14ac:dyDescent="0.2">
      <c r="A22" s="22"/>
      <c r="B22" s="24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5"/>
    </row>
    <row r="23" spans="1:63" s="23" customFormat="1" ht="13.5" customHeight="1" x14ac:dyDescent="0.2">
      <c r="A23" s="22"/>
      <c r="B23" s="24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5"/>
    </row>
    <row r="24" spans="1:63" s="23" customFormat="1" ht="13.5" customHeight="1" x14ac:dyDescent="0.2">
      <c r="A24" s="22"/>
      <c r="B24" s="24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5"/>
    </row>
    <row r="25" spans="1:63" s="23" customFormat="1" ht="13.5" customHeight="1" x14ac:dyDescent="0.2">
      <c r="A25" s="22"/>
      <c r="B25" s="24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5"/>
    </row>
    <row r="26" spans="1:63" s="23" customFormat="1" ht="13.5" customHeight="1" x14ac:dyDescent="0.2">
      <c r="A26" s="22"/>
      <c r="B26" s="24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5"/>
    </row>
    <row r="27" spans="1:63" s="23" customFormat="1" ht="13.5" customHeight="1" x14ac:dyDescent="0.2">
      <c r="A27" s="22"/>
      <c r="B27" s="2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5"/>
    </row>
    <row r="28" spans="1:63" s="23" customFormat="1" ht="13.5" customHeight="1" x14ac:dyDescent="0.2">
      <c r="A28" s="22"/>
      <c r="B28" s="24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2"/>
      <c r="BK28" s="25"/>
    </row>
    <row r="29" spans="1:63" s="23" customFormat="1" ht="13.5" customHeight="1" x14ac:dyDescent="0.2">
      <c r="A29" s="22"/>
      <c r="B29" s="24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2"/>
      <c r="BK29" s="25"/>
    </row>
    <row r="30" spans="1:63" s="23" customFormat="1" ht="13.5" customHeight="1" x14ac:dyDescent="0.2">
      <c r="A30" s="22"/>
      <c r="B30" s="24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2"/>
      <c r="BK30" s="25"/>
    </row>
    <row r="31" spans="1:63" s="23" customFormat="1" ht="13.5" customHeight="1" x14ac:dyDescent="0.2">
      <c r="A31" s="22"/>
      <c r="B31" s="24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2"/>
      <c r="BK31" s="25"/>
    </row>
    <row r="32" spans="1:63" s="23" customFormat="1" ht="13.5" customHeight="1" x14ac:dyDescent="0.2">
      <c r="A32" s="22"/>
      <c r="B32" s="24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5"/>
    </row>
    <row r="33" spans="1:63" s="23" customFormat="1" ht="13.5" customHeight="1" x14ac:dyDescent="0.2">
      <c r="A33" s="22"/>
      <c r="B33" s="2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5"/>
    </row>
    <row r="34" spans="1:63" s="23" customFormat="1" ht="13.5" customHeight="1" x14ac:dyDescent="0.2">
      <c r="A34" s="22"/>
      <c r="B34" s="24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5"/>
    </row>
    <row r="35" spans="1:63" s="23" customFormat="1" ht="13.5" customHeight="1" x14ac:dyDescent="0.2">
      <c r="A35" s="22"/>
      <c r="B35" s="2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5"/>
    </row>
    <row r="36" spans="1:63" s="23" customFormat="1" ht="13.5" customHeight="1" x14ac:dyDescent="0.2">
      <c r="A36" s="22"/>
      <c r="B36" s="24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5"/>
    </row>
    <row r="37" spans="1:63" s="23" customFormat="1" ht="13.5" customHeight="1" x14ac:dyDescent="0.2">
      <c r="A37" s="22"/>
      <c r="B37" s="24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5"/>
    </row>
    <row r="38" spans="1:63" s="23" customFormat="1" ht="13.5" customHeight="1" x14ac:dyDescent="0.2">
      <c r="A38" s="22"/>
      <c r="B38" s="2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5"/>
    </row>
    <row r="39" spans="1:63" s="23" customFormat="1" ht="13.5" customHeight="1" x14ac:dyDescent="0.2">
      <c r="A39" s="22"/>
      <c r="B39" s="24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5"/>
    </row>
    <row r="40" spans="1:63" s="23" customFormat="1" ht="13.5" customHeight="1" x14ac:dyDescent="0.2">
      <c r="A40" s="22"/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8"/>
    </row>
    <row r="41" spans="1:63" s="23" customFormat="1" ht="13.5" customHeight="1" x14ac:dyDescent="0.2">
      <c r="A41" s="22"/>
    </row>
    <row r="42" spans="1:63" ht="13.5" customHeight="1" x14ac:dyDescent="0.2">
      <c r="A42" s="20"/>
    </row>
    <row r="43" spans="1:63" ht="13.5" customHeight="1" x14ac:dyDescent="0.2">
      <c r="A43" s="20"/>
    </row>
    <row r="44" spans="1:63" ht="13.5" customHeight="1" x14ac:dyDescent="0.2">
      <c r="A44" s="20"/>
    </row>
    <row r="45" spans="1:63" ht="13.5" customHeight="1" x14ac:dyDescent="0.2">
      <c r="A45" s="20"/>
    </row>
    <row r="46" spans="1:63" ht="13.5" customHeight="1" x14ac:dyDescent="0.2">
      <c r="A46" s="20"/>
    </row>
    <row r="47" spans="1:63" ht="13.5" customHeight="1" x14ac:dyDescent="0.2">
      <c r="A47" s="20"/>
    </row>
    <row r="48" spans="1:63" ht="13.5" customHeight="1" x14ac:dyDescent="0.2">
      <c r="A48" s="20"/>
    </row>
    <row r="49" spans="1:1" ht="13.5" customHeight="1" x14ac:dyDescent="0.2">
      <c r="A49" s="20"/>
    </row>
    <row r="50" spans="1:1" ht="13.5" customHeight="1" x14ac:dyDescent="0.2">
      <c r="A50" s="20"/>
    </row>
    <row r="51" spans="1:1" ht="13.5" customHeight="1" x14ac:dyDescent="0.2">
      <c r="A51" s="20"/>
    </row>
    <row r="52" spans="1:1" ht="13.5" customHeight="1" x14ac:dyDescent="0.2">
      <c r="A52" s="20"/>
    </row>
    <row r="53" spans="1:1" ht="13.5" customHeight="1" x14ac:dyDescent="0.2">
      <c r="A53" s="20"/>
    </row>
    <row r="54" spans="1:1" ht="13.5" customHeight="1" x14ac:dyDescent="0.2">
      <c r="A54" s="20"/>
    </row>
    <row r="55" spans="1:1" ht="13.5" customHeight="1" x14ac:dyDescent="0.2">
      <c r="A55" s="20"/>
    </row>
    <row r="56" spans="1:1" ht="13.5" customHeight="1" x14ac:dyDescent="0.2">
      <c r="A56" s="20"/>
    </row>
    <row r="57" spans="1:1" ht="13.5" customHeight="1" x14ac:dyDescent="0.2">
      <c r="A57" s="20"/>
    </row>
    <row r="58" spans="1:1" ht="13.5" customHeight="1" x14ac:dyDescent="0.2">
      <c r="A58" s="20"/>
    </row>
    <row r="59" spans="1:1" ht="13.5" customHeight="1" x14ac:dyDescent="0.2">
      <c r="A59" s="20"/>
    </row>
    <row r="60" spans="1:1" ht="13.5" customHeight="1" x14ac:dyDescent="0.2">
      <c r="A60" s="20"/>
    </row>
    <row r="61" spans="1:1" ht="13.5" customHeight="1" x14ac:dyDescent="0.2">
      <c r="A61" s="20"/>
    </row>
    <row r="62" spans="1:1" ht="13.5" customHeight="1" x14ac:dyDescent="0.2">
      <c r="A62" s="20"/>
    </row>
    <row r="63" spans="1:1" ht="13.5" customHeight="1" x14ac:dyDescent="0.2">
      <c r="A63" s="20"/>
    </row>
    <row r="64" spans="1:1" ht="13.5" customHeight="1" x14ac:dyDescent="0.2">
      <c r="A64" s="20"/>
    </row>
    <row r="65" spans="1:1" ht="13.5" customHeight="1" x14ac:dyDescent="0.2">
      <c r="A65" s="20"/>
    </row>
    <row r="66" spans="1:1" ht="13.5" customHeight="1" x14ac:dyDescent="0.2">
      <c r="A66" s="20"/>
    </row>
    <row r="67" spans="1:1" ht="13.5" customHeight="1" x14ac:dyDescent="0.2">
      <c r="A67" s="20"/>
    </row>
    <row r="68" spans="1:1" ht="13.5" customHeight="1" x14ac:dyDescent="0.2">
      <c r="A68" s="20"/>
    </row>
    <row r="69" spans="1:1" ht="13.5" customHeight="1" x14ac:dyDescent="0.2">
      <c r="A69" s="20"/>
    </row>
    <row r="70" spans="1:1" ht="13.5" customHeight="1" x14ac:dyDescent="0.2">
      <c r="A70" s="20"/>
    </row>
    <row r="71" spans="1:1" ht="13.5" customHeight="1" x14ac:dyDescent="0.2">
      <c r="A71" s="20"/>
    </row>
    <row r="72" spans="1:1" ht="13.5" customHeight="1" x14ac:dyDescent="0.2">
      <c r="A72" s="20"/>
    </row>
    <row r="73" spans="1:1" ht="13.5" customHeight="1" x14ac:dyDescent="0.2">
      <c r="A73" s="20"/>
    </row>
    <row r="74" spans="1:1" ht="13.5" customHeight="1" x14ac:dyDescent="0.2">
      <c r="A74" s="20"/>
    </row>
    <row r="75" spans="1:1" ht="13.5" customHeight="1" x14ac:dyDescent="0.2">
      <c r="A75" s="20"/>
    </row>
    <row r="76" spans="1:1" ht="13.5" customHeight="1" x14ac:dyDescent="0.2">
      <c r="A76" s="20"/>
    </row>
    <row r="77" spans="1:1" ht="13.5" customHeight="1" x14ac:dyDescent="0.2">
      <c r="A77" s="20"/>
    </row>
    <row r="78" spans="1:1" ht="13.5" customHeight="1" x14ac:dyDescent="0.2">
      <c r="A78" s="20"/>
    </row>
    <row r="79" spans="1:1" ht="13.5" customHeight="1" x14ac:dyDescent="0.2">
      <c r="A79" s="20"/>
    </row>
  </sheetData>
  <dataConsolidate/>
  <phoneticPr fontId="3"/>
  <printOptions horizontalCentered="1"/>
  <pageMargins left="0.19685039370078741" right="0.19685039370078741" top="0.78740157480314965" bottom="0.51181102362204722" header="0.78740157480314965" footer="0.31496062992125984"/>
  <pageSetup paperSize="9" orientation="landscape" horizontalDpi="1200" verticalDpi="1200" r:id="rId1"/>
  <headerFooter alignWithMargins="0">
    <oddFooter>&amp;R&amp;"Arial,標準"&amp;9Page.&amp;P&amp;C&amp;"Arial,標準"&amp;6(C) 2019 Kyoritsu Electric Corporation All Rights Reserved.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60</vt:i4>
      </vt:variant>
    </vt:vector>
  </HeadingPairs>
  <TitlesOfParts>
    <vt:vector size="76" baseType="lpstr">
      <vt:lpstr>表紙</vt:lpstr>
      <vt:lpstr>改訂履歴</vt:lpstr>
      <vt:lpstr>目次</vt:lpstr>
      <vt:lpstr>1.適用</vt:lpstr>
      <vt:lpstr>2.目的</vt:lpstr>
      <vt:lpstr>3.実施範囲</vt:lpstr>
      <vt:lpstr>4.実施計画</vt:lpstr>
      <vt:lpstr>5.実施環境</vt:lpstr>
      <vt:lpstr>6.検査基準</vt:lpstr>
      <vt:lpstr>7-1-1.テスト(1)</vt:lpstr>
      <vt:lpstr>8.検査記録</vt:lpstr>
      <vt:lpstr>_集計表</vt:lpstr>
      <vt:lpstr>_4-X.画面</vt:lpstr>
      <vt:lpstr>_4-X.項目</vt:lpstr>
      <vt:lpstr>_4-X.機能</vt:lpstr>
      <vt:lpstr>_レイアウト汎用</vt:lpstr>
      <vt:lpstr>\DOC\サブシステム名</vt:lpstr>
      <vt:lpstr>\DOC\サブドキュメント名</vt:lpstr>
      <vt:lpstr>\DOC\システム総称</vt:lpstr>
      <vt:lpstr>\DOC\システム名</vt:lpstr>
      <vt:lpstr>\DOC\ドキュメントNO</vt:lpstr>
      <vt:lpstr>\DOC\ドキュメント総称</vt:lpstr>
      <vt:lpstr>\DOC\ドキュメント名</vt:lpstr>
      <vt:lpstr>\DOC\契約先名</vt:lpstr>
      <vt:lpstr>\DOC\最終担当者</vt:lpstr>
      <vt:lpstr>\DOC\最終発行日</vt:lpstr>
      <vt:lpstr>\DOC\最終発行版</vt:lpstr>
      <vt:lpstr>\DOC\需要先名</vt:lpstr>
      <vt:lpstr>\DOC\初版担当者</vt:lpstr>
      <vt:lpstr>\DOC\初版発行日</vt:lpstr>
      <vt:lpstr>\DOC\初版発行版</vt:lpstr>
      <vt:lpstr>\DOC\照合NO</vt:lpstr>
      <vt:lpstr>\NG\CheckDate</vt:lpstr>
      <vt:lpstr>\NG\CheckMan</vt:lpstr>
      <vt:lpstr>\NG\Class</vt:lpstr>
      <vt:lpstr>\NG\Content</vt:lpstr>
      <vt:lpstr>\NG\Date</vt:lpstr>
      <vt:lpstr>\NG\Make</vt:lpstr>
      <vt:lpstr>\NG\Man</vt:lpstr>
      <vt:lpstr>\NG\SheetName</vt:lpstr>
      <vt:lpstr>\NG\SheetNo1</vt:lpstr>
      <vt:lpstr>\NG\SheetNo2</vt:lpstr>
      <vt:lpstr>\NG\SheetNo3</vt:lpstr>
      <vt:lpstr>\NG\TestNo</vt:lpstr>
      <vt:lpstr>\TOTAL\Bug</vt:lpstr>
      <vt:lpstr>\TOTAL\TestCount</vt:lpstr>
      <vt:lpstr>\TOTAL\Total</vt:lpstr>
      <vt:lpstr>'_4-X.画面'!Print_Area</vt:lpstr>
      <vt:lpstr>'_4-X.機能'!Print_Area</vt:lpstr>
      <vt:lpstr>'_4-X.項目'!Print_Area</vt:lpstr>
      <vt:lpstr>_レイアウト汎用!Print_Area</vt:lpstr>
      <vt:lpstr>_集計表!Print_Area</vt:lpstr>
      <vt:lpstr>'1.適用'!Print_Area</vt:lpstr>
      <vt:lpstr>'2.目的'!Print_Area</vt:lpstr>
      <vt:lpstr>'3.実施範囲'!Print_Area</vt:lpstr>
      <vt:lpstr>'4.実施計画'!Print_Area</vt:lpstr>
      <vt:lpstr>'5.実施環境'!Print_Area</vt:lpstr>
      <vt:lpstr>'6.検査基準'!Print_Area</vt:lpstr>
      <vt:lpstr>'7-1-1.テスト(1)'!Print_Area</vt:lpstr>
      <vt:lpstr>'8.検査記録'!Print_Area</vt:lpstr>
      <vt:lpstr>改訂履歴!Print_Area</vt:lpstr>
      <vt:lpstr>表紙!Print_Area</vt:lpstr>
      <vt:lpstr>'_4-X.画面'!Print_Titles</vt:lpstr>
      <vt:lpstr>'_4-X.機能'!Print_Titles</vt:lpstr>
      <vt:lpstr>'_4-X.項目'!Print_Titles</vt:lpstr>
      <vt:lpstr>_レイアウト汎用!Print_Titles</vt:lpstr>
      <vt:lpstr>'1.適用'!Print_Titles</vt:lpstr>
      <vt:lpstr>'2.目的'!Print_Titles</vt:lpstr>
      <vt:lpstr>'3.実施範囲'!Print_Titles</vt:lpstr>
      <vt:lpstr>'4.実施計画'!Print_Titles</vt:lpstr>
      <vt:lpstr>'5.実施環境'!Print_Titles</vt:lpstr>
      <vt:lpstr>'6.検査基準'!Print_Titles</vt:lpstr>
      <vt:lpstr>'7-1-1.テスト(1)'!Print_Titles</vt:lpstr>
      <vt:lpstr>'8.検査記録'!Print_Titles</vt:lpstr>
      <vt:lpstr>改訂履歴!Print_Titles</vt:lpstr>
      <vt:lpstr>目次!Print_Titles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mmatsumo</dc:creator>
  <cp:lastModifiedBy>kd</cp:lastModifiedBy>
  <cp:lastPrinted>2022-05-13T07:19:55Z</cp:lastPrinted>
  <dcterms:created xsi:type="dcterms:W3CDTF">2013-06-21T13:45:00Z</dcterms:created>
  <dcterms:modified xsi:type="dcterms:W3CDTF">2022-05-13T08:27:38Z</dcterms:modified>
</cp:coreProperties>
</file>